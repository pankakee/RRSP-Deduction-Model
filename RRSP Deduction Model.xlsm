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Projects\RRSP-Deduction-Model\"/>
    </mc:Choice>
  </mc:AlternateContent>
  <xr:revisionPtr revIDLastSave="0" documentId="13_ncr:1_{0F7C6294-C73A-42F9-AEE2-C63BF5E6E031}" xr6:coauthVersionLast="47" xr6:coauthVersionMax="47" xr10:uidLastSave="{00000000-0000-0000-0000-000000000000}"/>
  <bookViews>
    <workbookView xWindow="-120" yWindow="-120" windowWidth="29040" windowHeight="16440" xr2:uid="{817A02EA-1C0F-4FA1-8E53-893B6EB88C4E}"/>
  </bookViews>
  <sheets>
    <sheet name="Sheet1" sheetId="1" r:id="rId1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6" i="1" l="1"/>
  <c r="I6" i="1"/>
  <c r="H6" i="1"/>
  <c r="C6" i="1"/>
  <c r="D6" i="1" a="1"/>
  <c r="E6" i="1" a="1"/>
  <c r="E6" i="1" l="1"/>
  <c r="D6" i="1"/>
  <c r="D7" i="1" a="1"/>
  <c r="E7" i="1" a="1"/>
  <c r="E10" i="1" a="1"/>
  <c r="V25" i="1"/>
  <c r="F6" i="1" l="1"/>
  <c r="E7" i="1"/>
  <c r="D7" i="1"/>
  <c r="E10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C7" i="1" l="1"/>
  <c r="V41" i="1"/>
  <c r="V42" i="1" s="1"/>
  <c r="V43" i="1"/>
  <c r="H7" i="1" l="1"/>
  <c r="I7" i="1" s="1"/>
  <c r="F7" i="1"/>
  <c r="G7" i="1" s="1"/>
  <c r="C8" i="1"/>
  <c r="E8" i="1" a="1"/>
  <c r="D8" i="1" a="1"/>
  <c r="M6" i="1" l="1"/>
  <c r="J6" i="1"/>
  <c r="G6" i="1"/>
  <c r="E8" i="1"/>
  <c r="H8" i="1"/>
  <c r="D8" i="1"/>
  <c r="C9" i="1"/>
  <c r="N6" i="1" a="1"/>
  <c r="E9" i="1" a="1"/>
  <c r="D9" i="1" a="1"/>
  <c r="J7" i="1" l="1"/>
  <c r="L7" i="1" s="1"/>
  <c r="N6" i="1"/>
  <c r="O6" i="1" s="1"/>
  <c r="P6" i="1"/>
  <c r="Q6" i="1" s="1"/>
  <c r="M7" i="1"/>
  <c r="I8" i="1"/>
  <c r="F8" i="1"/>
  <c r="G8" i="1" s="1"/>
  <c r="E9" i="1"/>
  <c r="H9" i="1"/>
  <c r="D9" i="1"/>
  <c r="C10" i="1"/>
  <c r="N7" i="1" a="1"/>
  <c r="D10" i="1" a="1"/>
  <c r="J8" i="1" l="1"/>
  <c r="L8" i="1" s="1"/>
  <c r="N7" i="1"/>
  <c r="P7" i="1" s="1"/>
  <c r="Q7" i="1" s="1"/>
  <c r="F9" i="1"/>
  <c r="G9" i="1" s="1"/>
  <c r="M8" i="1"/>
  <c r="I9" i="1"/>
  <c r="H10" i="1"/>
  <c r="D10" i="1"/>
  <c r="F10" i="1" s="1"/>
  <c r="G10" i="1" s="1"/>
  <c r="C11" i="1"/>
  <c r="N8" i="1" a="1"/>
  <c r="E11" i="1" a="1"/>
  <c r="D11" i="1" a="1"/>
  <c r="J9" i="1" l="1"/>
  <c r="L9" i="1" s="1"/>
  <c r="N8" i="1"/>
  <c r="O7" i="1"/>
  <c r="M9" i="1"/>
  <c r="I10" i="1"/>
  <c r="E11" i="1"/>
  <c r="H11" i="1"/>
  <c r="D11" i="1"/>
  <c r="C12" i="1"/>
  <c r="N9" i="1" a="1"/>
  <c r="E12" i="1" a="1"/>
  <c r="D12" i="1" a="1"/>
  <c r="J10" i="1" l="1"/>
  <c r="L10" i="1" s="1"/>
  <c r="N9" i="1"/>
  <c r="P9" i="1" s="1"/>
  <c r="Q9" i="1" s="1"/>
  <c r="O8" i="1"/>
  <c r="P8" i="1"/>
  <c r="Q8" i="1" s="1"/>
  <c r="M10" i="1"/>
  <c r="I11" i="1"/>
  <c r="F11" i="1"/>
  <c r="G11" i="1" s="1"/>
  <c r="E12" i="1"/>
  <c r="H12" i="1"/>
  <c r="D12" i="1"/>
  <c r="C13" i="1"/>
  <c r="E13" i="1" a="1"/>
  <c r="D13" i="1" a="1"/>
  <c r="N10" i="1" a="1"/>
  <c r="J11" i="1" l="1"/>
  <c r="L11" i="1" s="1"/>
  <c r="N10" i="1"/>
  <c r="P10" i="1" s="1"/>
  <c r="Q10" i="1" s="1"/>
  <c r="O9" i="1"/>
  <c r="M11" i="1"/>
  <c r="I12" i="1"/>
  <c r="E13" i="1"/>
  <c r="H13" i="1"/>
  <c r="F12" i="1"/>
  <c r="G12" i="1" s="1"/>
  <c r="D13" i="1"/>
  <c r="F13" i="1" s="1"/>
  <c r="G13" i="1" s="1"/>
  <c r="C14" i="1"/>
  <c r="E14" i="1" a="1"/>
  <c r="D14" i="1" a="1"/>
  <c r="N11" i="1" a="1"/>
  <c r="J12" i="1" l="1"/>
  <c r="L12" i="1" s="1"/>
  <c r="N11" i="1"/>
  <c r="O11" i="1" s="1"/>
  <c r="O10" i="1"/>
  <c r="M12" i="1"/>
  <c r="I13" i="1"/>
  <c r="E14" i="1"/>
  <c r="H14" i="1"/>
  <c r="D14" i="1"/>
  <c r="F14" i="1" s="1"/>
  <c r="G14" i="1" s="1"/>
  <c r="C15" i="1"/>
  <c r="E15" i="1" a="1"/>
  <c r="D15" i="1" a="1"/>
  <c r="N12" i="1" a="1"/>
  <c r="J13" i="1" l="1"/>
  <c r="L13" i="1" s="1"/>
  <c r="N12" i="1"/>
  <c r="P11" i="1"/>
  <c r="Q11" i="1" s="1"/>
  <c r="M13" i="1"/>
  <c r="I14" i="1"/>
  <c r="E15" i="1"/>
  <c r="H15" i="1"/>
  <c r="D15" i="1"/>
  <c r="F15" i="1" s="1"/>
  <c r="G15" i="1" s="1"/>
  <c r="C16" i="1"/>
  <c r="N13" i="1" a="1"/>
  <c r="D16" i="1" a="1"/>
  <c r="E16" i="1" a="1"/>
  <c r="J14" i="1" l="1"/>
  <c r="L14" i="1" s="1"/>
  <c r="N13" i="1"/>
  <c r="M14" i="1"/>
  <c r="O12" i="1"/>
  <c r="P12" i="1"/>
  <c r="Q12" i="1" s="1"/>
  <c r="I15" i="1"/>
  <c r="E16" i="1"/>
  <c r="H16" i="1"/>
  <c r="D16" i="1"/>
  <c r="C17" i="1"/>
  <c r="D17" i="1" a="1"/>
  <c r="N14" i="1" a="1"/>
  <c r="E17" i="1" a="1"/>
  <c r="J15" i="1" l="1"/>
  <c r="L15" i="1" s="1"/>
  <c r="N14" i="1"/>
  <c r="P14" i="1" s="1"/>
  <c r="Q14" i="1" s="1"/>
  <c r="M15" i="1"/>
  <c r="O13" i="1"/>
  <c r="P13" i="1"/>
  <c r="Q13" i="1" s="1"/>
  <c r="I16" i="1"/>
  <c r="F16" i="1"/>
  <c r="G16" i="1" s="1"/>
  <c r="E17" i="1"/>
  <c r="H17" i="1"/>
  <c r="D17" i="1"/>
  <c r="C18" i="1"/>
  <c r="N15" i="1" a="1"/>
  <c r="E18" i="1" a="1"/>
  <c r="D18" i="1" a="1"/>
  <c r="J16" i="1" l="1"/>
  <c r="L16" i="1" s="1"/>
  <c r="O14" i="1"/>
  <c r="N15" i="1"/>
  <c r="O15" i="1" s="1"/>
  <c r="F17" i="1"/>
  <c r="G17" i="1" s="1"/>
  <c r="M16" i="1"/>
  <c r="I17" i="1"/>
  <c r="E18" i="1"/>
  <c r="H18" i="1"/>
  <c r="D18" i="1"/>
  <c r="N16" i="1" a="1"/>
  <c r="J17" i="1" l="1"/>
  <c r="L17" i="1" s="1"/>
  <c r="I18" i="1"/>
  <c r="M18" i="1" s="1"/>
  <c r="P15" i="1"/>
  <c r="Q15" i="1" s="1"/>
  <c r="N16" i="1"/>
  <c r="P16" i="1" s="1"/>
  <c r="Q16" i="1" s="1"/>
  <c r="M17" i="1"/>
  <c r="F18" i="1"/>
  <c r="G18" i="1" s="1"/>
  <c r="N18" i="1" a="1"/>
  <c r="N17" i="1" a="1"/>
  <c r="J18" i="1" l="1"/>
  <c r="L18" i="1" s="1"/>
  <c r="O16" i="1"/>
  <c r="N17" i="1"/>
  <c r="N18" i="1"/>
  <c r="O18" i="1" l="1"/>
  <c r="P18" i="1"/>
  <c r="Q18" i="1" s="1"/>
  <c r="O17" i="1"/>
  <c r="P17" i="1"/>
  <c r="Q17" i="1" s="1"/>
  <c r="Q2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<sst xmlns="http://schemas.openxmlformats.org/spreadsheetml/2006/main" count="34" uniqueCount="30">
  <si>
    <t>Starting Income</t>
  </si>
  <si>
    <t>Contribution Limit</t>
  </si>
  <si>
    <t>Year</t>
  </si>
  <si>
    <t>YoY Raise</t>
  </si>
  <si>
    <t>Taxable income threshold</t>
  </si>
  <si>
    <t>Tax rate</t>
  </si>
  <si>
    <t>Federal Tax Rates</t>
  </si>
  <si>
    <t>Ontario Tax Rates</t>
  </si>
  <si>
    <t xml:space="preserve">  </t>
  </si>
  <si>
    <t>Contribution Cap</t>
  </si>
  <si>
    <t>Salary</t>
  </si>
  <si>
    <t>Federal Tax</t>
  </si>
  <si>
    <t>Provincial Tax</t>
  </si>
  <si>
    <t>Total Tax</t>
  </si>
  <si>
    <t>Net Income</t>
  </si>
  <si>
    <t>RRSP Contribution Maximums</t>
  </si>
  <si>
    <t>Contribution limits</t>
  </si>
  <si>
    <t>Forcasted Limits</t>
  </si>
  <si>
    <t xml:space="preserve">New Taxable Income </t>
  </si>
  <si>
    <t>RRSP Contribution Amount</t>
  </si>
  <si>
    <t>Tax Payable</t>
  </si>
  <si>
    <t>New Net Income</t>
  </si>
  <si>
    <t>RRSP Deduction Claimed</t>
  </si>
  <si>
    <t>RRSP Carryforward Room</t>
  </si>
  <si>
    <t>Refund</t>
  </si>
  <si>
    <t>PV Refund</t>
  </si>
  <si>
    <t>RRSP Unclaimed Deductions</t>
  </si>
  <si>
    <t>Total</t>
  </si>
  <si>
    <t>Interest rate</t>
  </si>
  <si>
    <t>Start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</si>
</sst>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9" fontId="0" fillId="2" borderId="1" xfId="0" applyNumberFormat="1" applyFill="1" applyBorder="1" applyAlignment="1">
      <alignment horizontal="center"/>
    </xf>
    <xf numFmtId="44" fontId="0" fillId="2" borderId="1" xfId="1" applyFont="1" applyFill="1" applyBorder="1"/>
    <xf numFmtId="9" fontId="0" fillId="2" borderId="1" xfId="0" applyNumberFormat="1" applyFill="1" applyBorder="1"/>
    <xf numFmtId="9" fontId="0" fillId="0" borderId="2" xfId="2" applyFont="1" applyBorder="1"/>
    <xf numFmtId="44" fontId="0" fillId="0" borderId="3" xfId="1" applyFont="1" applyBorder="1"/>
    <xf numFmtId="6" fontId="0" fillId="0" borderId="3" xfId="0" applyNumberFormat="1" applyBorder="1"/>
    <xf numFmtId="9" fontId="0" fillId="0" borderId="4" xfId="2" applyFont="1" applyBorder="1"/>
    <xf numFmtId="6" fontId="0" fillId="0" borderId="5" xfId="0" applyNumberFormat="1" applyBorder="1"/>
    <xf numFmtId="0" fontId="0" fillId="0" borderId="6" xfId="0" applyBorder="1"/>
    <xf numFmtId="0" fontId="0" fillId="0" borderId="7" xfId="0" applyBorder="1"/>
    <xf numFmtId="10" fontId="0" fillId="0" borderId="2" xfId="2" applyNumberFormat="1" applyFont="1" applyBorder="1"/>
    <xf numFmtId="10" fontId="0" fillId="0" borderId="4" xfId="2" applyNumberFormat="1" applyFont="1" applyBorder="1"/>
    <xf numFmtId="44" fontId="0" fillId="0" borderId="0" xfId="1" applyFont="1"/>
    <xf numFmtId="44" fontId="0" fillId="0" borderId="0" xfId="0" applyNumberFormat="1"/>
    <xf numFmtId="0" fontId="2" fillId="0" borderId="0" xfId="0" applyFont="1"/>
    <xf numFmtId="44" fontId="2" fillId="0" borderId="0" xfId="1" applyFont="1"/>
    <xf numFmtId="44" fontId="2" fillId="0" borderId="0" xfId="0" applyNumberFormat="1" applyFont="1"/>
    <xf numFmtId="0" fontId="0" fillId="0" borderId="8" xfId="0" applyBorder="1"/>
    <xf numFmtId="0" fontId="0" fillId="0" borderId="2" xfId="0" applyBorder="1"/>
    <xf numFmtId="44" fontId="0" fillId="0" borderId="9" xfId="1" applyFont="1" applyBorder="1"/>
    <xf numFmtId="0" fontId="0" fillId="3" borderId="2" xfId="0" applyFill="1" applyBorder="1"/>
    <xf numFmtId="44" fontId="0" fillId="3" borderId="3" xfId="1" applyFont="1" applyFill="1" applyBorder="1"/>
    <xf numFmtId="0" fontId="0" fillId="3" borderId="4" xfId="0" applyFill="1" applyBorder="1"/>
    <xf numFmtId="44" fontId="0" fillId="3" borderId="5" xfId="1" applyFont="1" applyFill="1" applyBorder="1"/>
    <xf numFmtId="9" fontId="0" fillId="2" borderId="0" xfId="0" applyNumberFormat="1" applyFill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834E-EEAC-4DB7-8A89-87359027A8BB}">
  <sheetPr codeName="Sheet1"/>
  <dimension ref="A1:Z43"/>
  <sheetViews>
    <sheetView tabSelected="1" zoomScale="115" zoomScaleNormal="115" workbookViewId="0">
      <selection activeCell="Q20" sqref="Q20"/>
    </sheetView>
  </sheetViews>
  <sheetFormatPr defaultRowHeight="15" x14ac:dyDescent="0.25"/>
  <cols>
    <col min="3" max="3" width="13.28515625" customWidth="1"/>
    <col min="4" max="4" width="9.42578125" bestFit="1" customWidth="1"/>
    <col min="5" max="5" width="10.42578125" customWidth="1"/>
    <col min="7" max="7" width="12.7109375" customWidth="1"/>
    <col min="8" max="8" width="11.85546875" customWidth="1"/>
    <col min="9" max="9" width="14.5703125" customWidth="1"/>
    <col min="10" max="10" width="15.7109375" customWidth="1"/>
    <col min="11" max="12" width="11.42578125" customWidth="1"/>
    <col min="13" max="13" width="12.85546875" customWidth="1"/>
    <col min="15" max="15" width="14.28515625" customWidth="1"/>
    <col min="16" max="16" width="11.85546875" bestFit="1" customWidth="1"/>
    <col min="17" max="17" width="15.7109375" customWidth="1"/>
    <col min="22" max="22" width="23" customWidth="1"/>
    <col min="25" max="25" width="21.42578125" customWidth="1"/>
  </cols>
  <sheetData>
    <row r="1" spans="1:2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5" x14ac:dyDescent="0.25">
      <c r="A2" s="34" t="s">
        <v>0</v>
      </c>
      <c r="B2" s="34"/>
      <c r="C2" s="3">
        <v>60000</v>
      </c>
      <c r="D2" s="35" t="s">
        <v>28</v>
      </c>
      <c r="E2" s="34"/>
      <c r="F2" s="4">
        <v>0.05</v>
      </c>
      <c r="G2" s="35" t="s">
        <v>1</v>
      </c>
      <c r="H2" s="34"/>
      <c r="I2" s="4">
        <v>0.18</v>
      </c>
      <c r="J2" s="26" t="s">
        <v>29</v>
      </c>
      <c r="K2" s="26"/>
      <c r="L2" s="26"/>
      <c r="M2" s="1"/>
      <c r="N2" s="1"/>
      <c r="O2" s="1"/>
      <c r="P2" s="1"/>
      <c r="Q2" s="1"/>
      <c r="R2" s="1"/>
      <c r="S2" s="1"/>
      <c r="T2" s="1"/>
    </row>
    <row r="3" spans="1:25" x14ac:dyDescent="0.25">
      <c r="A3" s="34" t="s">
        <v>3</v>
      </c>
      <c r="B3" s="34"/>
      <c r="C3" s="2">
        <v>0.02</v>
      </c>
      <c r="D3" s="1"/>
      <c r="E3" s="1"/>
      <c r="F3" s="1"/>
      <c r="G3" s="34" t="s">
        <v>9</v>
      </c>
      <c r="H3" s="3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5" spans="1:25" s="27" customFormat="1" ht="43.15" customHeight="1" thickBot="1" x14ac:dyDescent="0.3">
      <c r="B5" s="28" t="s">
        <v>2</v>
      </c>
      <c r="C5" s="29" t="s">
        <v>10</v>
      </c>
      <c r="D5" s="30" t="s">
        <v>11</v>
      </c>
      <c r="E5" s="30" t="s">
        <v>12</v>
      </c>
      <c r="F5" s="29" t="s">
        <v>13</v>
      </c>
      <c r="G5" s="30" t="s">
        <v>14</v>
      </c>
      <c r="H5" s="30" t="s">
        <v>1</v>
      </c>
      <c r="I5" s="30" t="s">
        <v>19</v>
      </c>
      <c r="J5" s="30" t="s">
        <v>23</v>
      </c>
      <c r="K5" s="30" t="s">
        <v>22</v>
      </c>
      <c r="L5" s="30" t="s">
        <v>26</v>
      </c>
      <c r="M5" s="30" t="s">
        <v>18</v>
      </c>
      <c r="N5" s="30" t="s">
        <v>20</v>
      </c>
      <c r="O5" s="30" t="s">
        <v>21</v>
      </c>
      <c r="P5" s="27" t="s">
        <v>24</v>
      </c>
      <c r="Q5" s="27" t="s">
        <v>25</v>
      </c>
    </row>
    <row r="6" spans="1:25" x14ac:dyDescent="0.25">
      <c r="B6">
        <v>2025</v>
      </c>
      <c r="C6" s="17">
        <f>C2</f>
        <v>60000</v>
      </c>
      <c r="D6" cm="1">
        <f t="array" ref="D6">Tax(C6, $U$9:$V$13)</f>
        <v>8496.005000000001</v>
      </c>
      <c r="E6" cm="1">
        <f t="array" ref="E6">Tax(C6,$X$9:$Y$13)</f>
        <v>3280.4690000000001</v>
      </c>
      <c r="F6" s="16">
        <f>D6+E6</f>
        <v>11776.474000000002</v>
      </c>
      <c r="G6" s="15">
        <f>C6-F6</f>
        <v>48223.525999999998</v>
      </c>
      <c r="H6">
        <f>MIN(VLOOKUP(B6,$U$17:$V$43,2),$I$2*C6)</f>
        <v>10800</v>
      </c>
      <c r="I6">
        <f>H6</f>
        <v>10800</v>
      </c>
      <c r="J6">
        <f>H6-I6</f>
        <v>0</v>
      </c>
      <c r="K6">
        <v>9060</v>
      </c>
      <c r="L6">
        <f>I6-K6+J6</f>
        <v>1740</v>
      </c>
      <c r="M6" s="14">
        <f>C6-I6</f>
        <v>49200</v>
      </c>
      <c r="N6" cm="1">
        <f t="array" ref="N6">Tax(M6,$U$9:$V$13) + Tax(M6,$X$9:$Y$13)</f>
        <v>9372.6000000000022</v>
      </c>
      <c r="O6" s="15">
        <f>M6-N6</f>
        <v>39827.399999999994</v>
      </c>
      <c r="P6" s="15">
        <f t="shared" ref="P6:P18" si="0">F6-N6</f>
        <v>2403.8739999999998</v>
      </c>
      <c r="Q6" s="15">
        <f>P6</f>
        <v>2403.8739999999998</v>
      </c>
    </row>
    <row r="7" spans="1:25" x14ac:dyDescent="0.25">
      <c r="B7">
        <v>2026</v>
      </c>
      <c r="C7" s="18">
        <f>C6*(1+$C$3)</f>
        <v>61200</v>
      </c>
      <c r="D7" cm="1">
        <f t="array" ref="D7">Tax(C7,$U$9:$V$13)</f>
        <v>8742.005000000001</v>
      </c>
      <c r="E7" cm="1">
        <f t="array" ref="E7">Tax(C7,$X$9:$Y$13)</f>
        <v>3390.2690000000002</v>
      </c>
      <c r="F7" s="16">
        <f t="shared" ref="F7:F18" si="1">D7+E7</f>
        <v>12132.274000000001</v>
      </c>
      <c r="G7" s="15">
        <f t="shared" ref="G7:G18" si="2">C7-F7</f>
        <v>49067.725999999995</v>
      </c>
      <c r="H7">
        <f t="shared" ref="H6:H18" ca="1" si="3">MIN(VLOOKUP(B7,$U$17:$V$43,2),$I$2*C7)</f>
        <v>11016</v>
      </c>
      <c r="I7">
        <f ca="1">H7</f>
        <v>11016</v>
      </c>
      <c r="J7">
        <f ca="1">H7-I7+J6</f>
        <v>0</v>
      </c>
      <c r="K7">
        <v>12751</v>
      </c>
      <c r="L7">
        <f ca="1">I7-K7+J7+L6</f>
        <v>5</v>
      </c>
      <c r="M7" s="14">
        <f t="shared" ref="M6:M18" ca="1" si="4">C7-I7</f>
        <v>50184</v>
      </c>
      <c r="N7" cm="1">
        <f t="array" aca="1" ref="N7" ca="1">Tax(M7,$U$9:$V$13) + Tax(M7,$X$9:$Y$13)</f>
        <v>9560.0519999999997</v>
      </c>
      <c r="O7" s="15">
        <f t="shared" ref="O7:O18" ca="1" si="5">M7-N7</f>
        <v>40623.948000000004</v>
      </c>
      <c r="P7" s="15">
        <f t="shared" ca="1" si="0"/>
        <v>2572.2220000000016</v>
      </c>
      <c r="Q7" s="15">
        <f ca="1">P7*(1+$F$2)^-(B7-$B$6)</f>
        <v>2449.7352380952393</v>
      </c>
      <c r="U7" s="31" t="s">
        <v>6</v>
      </c>
      <c r="V7" s="31"/>
      <c r="X7" s="31" t="s">
        <v>7</v>
      </c>
      <c r="Y7" s="31"/>
    </row>
    <row r="8" spans="1:25" x14ac:dyDescent="0.25">
      <c r="B8">
        <v>2027</v>
      </c>
      <c r="C8" s="18">
        <f t="shared" ref="C8:C18" si="6">C7*(1+$C$3)</f>
        <v>62424</v>
      </c>
      <c r="D8" cm="1">
        <f t="array" ref="D8">Tax(C8,$U$9:$V$13)</f>
        <v>8992.9250000000011</v>
      </c>
      <c r="E8" cm="1">
        <f t="array" ref="E8">Tax(C8,$X$9:$Y$13)</f>
        <v>3502.2649999999999</v>
      </c>
      <c r="F8" s="16">
        <f t="shared" si="1"/>
        <v>12495.19</v>
      </c>
      <c r="G8" s="15">
        <f t="shared" si="2"/>
        <v>49928.81</v>
      </c>
      <c r="H8">
        <f t="shared" ca="1" si="3"/>
        <v>11236.32</v>
      </c>
      <c r="I8">
        <f t="shared" ref="I7:I18" ca="1" si="7">H8</f>
        <v>11236.32</v>
      </c>
      <c r="J8">
        <f t="shared" ref="J8:J18" ca="1" si="8">H8-I8+J7</f>
        <v>0</v>
      </c>
      <c r="K8">
        <v>11236.32</v>
      </c>
      <c r="L8">
        <f t="shared" ref="L8:L18" ca="1" si="9">I8-K8+J8+L7</f>
        <v>5</v>
      </c>
      <c r="M8" s="14">
        <f t="shared" ca="1" si="4"/>
        <v>51187.68</v>
      </c>
      <c r="N8" cm="1">
        <f t="array" aca="1" ref="N8" ca="1">Tax(M8,$U$9:$V$13) + Tax(M8,$X$9:$Y$13)</f>
        <v>9751.2530400000014</v>
      </c>
      <c r="O8" s="15">
        <f t="shared" ca="1" si="5"/>
        <v>41436.426959999997</v>
      </c>
      <c r="P8" s="15">
        <f t="shared" ca="1" si="0"/>
        <v>2743.9369599999991</v>
      </c>
      <c r="Q8" s="15">
        <f t="shared" ref="Q8:Q18" ca="1" si="10">P8*(1+$F$2)^-(B8-$B$6)</f>
        <v>2488.831709750566</v>
      </c>
      <c r="U8" s="10" t="s">
        <v>5</v>
      </c>
      <c r="V8" s="11" t="s">
        <v>4</v>
      </c>
      <c r="X8" s="10" t="s">
        <v>5</v>
      </c>
      <c r="Y8" s="11" t="s">
        <v>4</v>
      </c>
    </row>
    <row r="9" spans="1:25" x14ac:dyDescent="0.25">
      <c r="B9">
        <v>2028</v>
      </c>
      <c r="C9" s="18">
        <f t="shared" si="6"/>
        <v>63672.480000000003</v>
      </c>
      <c r="D9" cm="1">
        <f t="array" ref="D9">Tax(C9,$U$9:$V$13)</f>
        <v>9248.863400000002</v>
      </c>
      <c r="E9" cm="1">
        <f t="array" ref="E9">Tax(C9,$X$9:$Y$13)</f>
        <v>3616.50092</v>
      </c>
      <c r="F9" s="16">
        <f t="shared" si="1"/>
        <v>12865.364320000002</v>
      </c>
      <c r="G9" s="15">
        <f t="shared" si="2"/>
        <v>50807.115680000003</v>
      </c>
      <c r="H9">
        <f t="shared" ca="1" si="3"/>
        <v>11461.046399999999</v>
      </c>
      <c r="I9">
        <f t="shared" ca="1" si="7"/>
        <v>11461.046399999999</v>
      </c>
      <c r="J9">
        <f t="shared" ca="1" si="8"/>
        <v>0</v>
      </c>
      <c r="K9">
        <v>11461.046399999999</v>
      </c>
      <c r="L9">
        <f ca="1">I9-K9+J9+L8</f>
        <v>5</v>
      </c>
      <c r="M9" s="14">
        <f t="shared" ca="1" si="4"/>
        <v>52211.433600000004</v>
      </c>
      <c r="N9" cm="1">
        <f t="array" aca="1" ref="N9" ca="1">Tax(M9,$U$9:$V$13) + Tax(M9,$X$9:$Y$13)</f>
        <v>9946.2781008000002</v>
      </c>
      <c r="O9" s="15">
        <f t="shared" ca="1" si="5"/>
        <v>42265.155499200002</v>
      </c>
      <c r="P9" s="15">
        <f t="shared" ca="1" si="0"/>
        <v>2919.0862192000022</v>
      </c>
      <c r="Q9" s="15">
        <f t="shared" ca="1" si="10"/>
        <v>2521.6164295000558</v>
      </c>
      <c r="U9" s="5">
        <v>0.14000000000000001</v>
      </c>
      <c r="V9" s="6">
        <v>0</v>
      </c>
      <c r="X9" s="12">
        <v>5.0500000000000003E-2</v>
      </c>
      <c r="Y9" s="6">
        <v>0</v>
      </c>
    </row>
    <row r="10" spans="1:25" x14ac:dyDescent="0.25">
      <c r="B10">
        <v>2029</v>
      </c>
      <c r="C10" s="18">
        <f t="shared" si="6"/>
        <v>64945.929600000003</v>
      </c>
      <c r="D10" cm="1">
        <f t="array" ref="D10">Tax(C10,$U$9:$V$13)</f>
        <v>9509.9205680000014</v>
      </c>
      <c r="E10" cm="1">
        <f t="array" ref="E10">Tax(C10,$X$9:$Y$13)</f>
        <v>3733.0215583999998</v>
      </c>
      <c r="F10" s="16">
        <f t="shared" si="1"/>
        <v>13242.942126400001</v>
      </c>
      <c r="G10" s="15">
        <f t="shared" si="2"/>
        <v>51702.987473600006</v>
      </c>
      <c r="H10">
        <f t="shared" ca="1" si="3"/>
        <v>11690.267328</v>
      </c>
      <c r="I10">
        <f t="shared" ca="1" si="7"/>
        <v>11690.267328</v>
      </c>
      <c r="J10">
        <f t="shared" ca="1" si="8"/>
        <v>0</v>
      </c>
      <c r="K10">
        <v>11690.267328</v>
      </c>
      <c r="L10">
        <f t="shared" ca="1" si="9"/>
        <v>5</v>
      </c>
      <c r="M10" s="14">
        <f t="shared" ca="1" si="4"/>
        <v>53255.662272000001</v>
      </c>
      <c r="N10" cm="1">
        <f t="array" aca="1" ref="N10" ca="1">Tax(M10,$U$9:$V$13) + Tax(M10,$X$9:$Y$13)</f>
        <v>10145.203668150001</v>
      </c>
      <c r="O10" s="15">
        <f t="shared" ca="1" si="5"/>
        <v>43110.458603849998</v>
      </c>
      <c r="P10" s="15">
        <f t="shared" ca="1" si="0"/>
        <v>3097.7384582499999</v>
      </c>
      <c r="Q10" s="15">
        <f t="shared" ca="1" si="10"/>
        <v>2548.5170958602639</v>
      </c>
      <c r="U10" s="5">
        <v>0.20499999999999999</v>
      </c>
      <c r="V10" s="7">
        <v>58523</v>
      </c>
      <c r="X10" s="12">
        <v>9.1499999999999998E-2</v>
      </c>
      <c r="Y10" s="7">
        <v>53891</v>
      </c>
    </row>
    <row r="11" spans="1:25" x14ac:dyDescent="0.25">
      <c r="B11">
        <v>2030</v>
      </c>
      <c r="C11" s="18">
        <f t="shared" si="6"/>
        <v>66244.848192000005</v>
      </c>
      <c r="D11" cm="1">
        <f t="array" ref="D11">Tax(C11,$U$9:$V$13)</f>
        <v>9776.1988810000003</v>
      </c>
      <c r="E11" cm="1">
        <f t="array" ref="E11">Tax(C11,$X$9:$Y$13)</f>
        <v>3851.8726102999999</v>
      </c>
      <c r="F11" s="16">
        <f t="shared" si="1"/>
        <v>13628.071491300001</v>
      </c>
      <c r="G11" s="15">
        <f t="shared" si="2"/>
        <v>52616.776700700007</v>
      </c>
      <c r="H11">
        <f t="shared" ca="1" si="3"/>
        <v>11924.07267456</v>
      </c>
      <c r="I11">
        <f t="shared" ca="1" si="7"/>
        <v>11924.07267456</v>
      </c>
      <c r="J11">
        <f t="shared" ca="1" si="8"/>
        <v>0</v>
      </c>
      <c r="K11">
        <v>11929.07267456</v>
      </c>
      <c r="L11">
        <f t="shared" ca="1" si="9"/>
        <v>0</v>
      </c>
      <c r="M11" s="14">
        <f t="shared" ca="1" si="4"/>
        <v>54320.775517440008</v>
      </c>
      <c r="N11" cm="1">
        <f t="array" aca="1" ref="N11" ca="1">Tax(M11,$U$9:$V$13) + Tax(M11,$X$9:$Y$13)</f>
        <v>10365.728528250002</v>
      </c>
      <c r="O11" s="15">
        <f ca="1">M11-N11</f>
        <v>43955.046989190007</v>
      </c>
      <c r="P11" s="15">
        <f t="shared" ca="1" si="0"/>
        <v>3262.3429630499995</v>
      </c>
      <c r="Q11" s="15">
        <f t="shared" ca="1" si="10"/>
        <v>2556.1310755439195</v>
      </c>
      <c r="U11" s="5">
        <v>0.26</v>
      </c>
      <c r="V11" s="7">
        <v>117045</v>
      </c>
      <c r="X11" s="12">
        <v>0.1116</v>
      </c>
      <c r="Y11" s="7">
        <v>107785</v>
      </c>
    </row>
    <row r="12" spans="1:25" x14ac:dyDescent="0.25">
      <c r="B12">
        <v>2031</v>
      </c>
      <c r="C12" s="18">
        <f t="shared" si="6"/>
        <v>67569.745155840006</v>
      </c>
      <c r="D12" cm="1">
        <f t="array" ref="D12">Tax(C12,$U$9:$V$13)</f>
        <v>10047.802766000001</v>
      </c>
      <c r="E12" cm="1">
        <f t="array" ref="E12">Tax(C12,$X$9:$Y$13)</f>
        <v>3973.1006858000001</v>
      </c>
      <c r="F12" s="16">
        <f t="shared" si="1"/>
        <v>14020.903451800001</v>
      </c>
      <c r="G12" s="15">
        <f t="shared" si="2"/>
        <v>53548.841704040009</v>
      </c>
      <c r="H12">
        <f t="shared" ca="1" si="3"/>
        <v>12162.554128051201</v>
      </c>
      <c r="I12">
        <f t="shared" ca="1" si="7"/>
        <v>12162.554128051201</v>
      </c>
      <c r="J12">
        <f t="shared" ca="1" si="8"/>
        <v>0</v>
      </c>
      <c r="K12">
        <v>12162.554128051201</v>
      </c>
      <c r="L12">
        <f t="shared" ca="1" si="9"/>
        <v>0</v>
      </c>
      <c r="M12" s="14">
        <f t="shared" ca="1" si="4"/>
        <v>55407.191027788809</v>
      </c>
      <c r="N12" t="e" cm="1">
        <f t="array" aca="1" ref="N12" ca="1">Tax(M12,$U$9:$V$13) + Tax(M12,$X$9:$Y$13)</f>
        <v>#VALUE!</v>
      </c>
      <c r="O12" s="15" t="e">
        <f t="shared" ca="1" si="5"/>
        <v>#VALUE!</v>
      </c>
      <c r="P12" s="15" t="e">
        <f t="shared" ca="1" si="0"/>
        <v>#VALUE!</v>
      </c>
      <c r="Q12" s="15" t="e">
        <f t="shared" ca="1" si="10"/>
        <v>#VALUE!</v>
      </c>
      <c r="U12" s="5">
        <v>0.28999999999999998</v>
      </c>
      <c r="V12" s="7">
        <v>181440</v>
      </c>
      <c r="X12" s="12">
        <v>0.1216</v>
      </c>
      <c r="Y12" s="7">
        <v>150000</v>
      </c>
    </row>
    <row r="13" spans="1:25" x14ac:dyDescent="0.25">
      <c r="B13">
        <v>2032</v>
      </c>
      <c r="C13" s="18">
        <f t="shared" si="6"/>
        <v>68921.140058956807</v>
      </c>
      <c r="D13" cm="1">
        <f t="array" ref="D13">Tax(C13,$U$9:$V$13)</f>
        <v>10324.838720500002</v>
      </c>
      <c r="E13" cm="1">
        <f t="array" ref="E13">Tax(C13,$X$9:$Y$13)</f>
        <v>4096.7533191499997</v>
      </c>
      <c r="F13" s="16">
        <f t="shared" si="1"/>
        <v>14421.592039650001</v>
      </c>
      <c r="G13" s="15">
        <f t="shared" si="2"/>
        <v>54499.548019306807</v>
      </c>
      <c r="H13">
        <f t="shared" ca="1" si="3"/>
        <v>12405.805210612225</v>
      </c>
      <c r="I13">
        <f t="shared" ca="1" si="7"/>
        <v>12405.805210612225</v>
      </c>
      <c r="J13">
        <f t="shared" ca="1" si="8"/>
        <v>0</v>
      </c>
      <c r="K13">
        <v>12405.805210612225</v>
      </c>
      <c r="L13">
        <f t="shared" ca="1" si="9"/>
        <v>0</v>
      </c>
      <c r="M13" s="14">
        <f t="shared" ca="1" si="4"/>
        <v>56515.334848344581</v>
      </c>
      <c r="N13" t="e" cm="1">
        <f t="array" aca="1" ref="N13" ca="1">Tax(M13,$U$9:$V$13) + Tax(M13,$X$9:$Y$13)</f>
        <v>#VALUE!</v>
      </c>
      <c r="O13" s="15" t="e">
        <f t="shared" ca="1" si="5"/>
        <v>#VALUE!</v>
      </c>
      <c r="P13" s="15" t="e">
        <f t="shared" ca="1" si="0"/>
        <v>#VALUE!</v>
      </c>
      <c r="Q13" s="15" t="e">
        <f t="shared" ca="1" si="10"/>
        <v>#VALUE!</v>
      </c>
      <c r="U13" s="8">
        <v>0.33</v>
      </c>
      <c r="V13" s="9">
        <v>258482</v>
      </c>
      <c r="X13" s="13">
        <v>0.13159999999999999</v>
      </c>
      <c r="Y13" s="9">
        <v>220000</v>
      </c>
    </row>
    <row r="14" spans="1:25" x14ac:dyDescent="0.25">
      <c r="B14">
        <v>2033</v>
      </c>
      <c r="C14" s="18">
        <f t="shared" si="6"/>
        <v>70299.562860135949</v>
      </c>
      <c r="D14" cm="1">
        <f t="array" ref="D14">Tax(C14,$U$9:$V$13)</f>
        <v>10607.415394500002</v>
      </c>
      <c r="E14" cm="1">
        <f t="array" ref="E14">Tax(C14,$X$9:$Y$13)</f>
        <v>4222.8790053499997</v>
      </c>
      <c r="F14" s="16">
        <f t="shared" si="1"/>
        <v>14830.294399850001</v>
      </c>
      <c r="G14" s="15">
        <f t="shared" si="2"/>
        <v>55469.268460285952</v>
      </c>
      <c r="H14">
        <f t="shared" ca="1" si="3"/>
        <v>12653.921314824471</v>
      </c>
      <c r="I14">
        <f t="shared" ca="1" si="7"/>
        <v>12653.921314824471</v>
      </c>
      <c r="J14">
        <f t="shared" ca="1" si="8"/>
        <v>0</v>
      </c>
      <c r="K14">
        <v>12653.921314824471</v>
      </c>
      <c r="L14">
        <f t="shared" ca="1" si="9"/>
        <v>0</v>
      </c>
      <c r="M14" s="14">
        <f t="shared" ca="1" si="4"/>
        <v>57645.641545311475</v>
      </c>
      <c r="N14" t="e" cm="1">
        <f t="array" aca="1" ref="N14" ca="1">Tax(M14,$U$9:$V$13) + Tax(M14,$X$9:$Y$13)</f>
        <v>#VALUE!</v>
      </c>
      <c r="O14" s="15" t="e">
        <f t="shared" ca="1" si="5"/>
        <v>#VALUE!</v>
      </c>
      <c r="P14" s="15" t="e">
        <f t="shared" ca="1" si="0"/>
        <v>#VALUE!</v>
      </c>
      <c r="Q14" s="15" t="e">
        <f t="shared" ca="1" si="10"/>
        <v>#VALUE!</v>
      </c>
    </row>
    <row r="15" spans="1:25" x14ac:dyDescent="0.25">
      <c r="B15">
        <v>2034</v>
      </c>
      <c r="C15" s="18">
        <f t="shared" si="6"/>
        <v>71705.554117338674</v>
      </c>
      <c r="D15" cm="1">
        <f t="array" ref="D15">Tax(C15,$U$9:$V$13)</f>
        <v>10895.6435905</v>
      </c>
      <c r="E15" cm="1">
        <f t="array" ref="E15">Tax(C15,$X$9:$Y$13)</f>
        <v>4351.5272001499998</v>
      </c>
      <c r="F15" s="16">
        <f t="shared" si="1"/>
        <v>15247.17079065</v>
      </c>
      <c r="G15" s="15">
        <f t="shared" si="2"/>
        <v>56458.383326688672</v>
      </c>
      <c r="H15">
        <f t="shared" ca="1" si="3"/>
        <v>12906.999741120961</v>
      </c>
      <c r="I15">
        <f t="shared" ca="1" si="7"/>
        <v>12906.999741120961</v>
      </c>
      <c r="J15">
        <f t="shared" ca="1" si="8"/>
        <v>0</v>
      </c>
      <c r="K15">
        <v>12906.999741120961</v>
      </c>
      <c r="L15">
        <f t="shared" ca="1" si="9"/>
        <v>0</v>
      </c>
      <c r="M15" s="14">
        <f t="shared" ca="1" si="4"/>
        <v>58798.554376217711</v>
      </c>
      <c r="N15" t="e" cm="1">
        <f t="array" aca="1" ref="N15" ca="1">Tax(M15,$U$9:$V$13) + Tax(M15,$X$9:$Y$13)</f>
        <v>#VALUE!</v>
      </c>
      <c r="O15" s="15" t="e">
        <f t="shared" ca="1" si="5"/>
        <v>#VALUE!</v>
      </c>
      <c r="P15" s="15" t="e">
        <f t="shared" ca="1" si="0"/>
        <v>#VALUE!</v>
      </c>
      <c r="Q15" s="15" t="e">
        <f t="shared" ca="1" si="10"/>
        <v>#VALUE!</v>
      </c>
      <c r="U15" s="31" t="s">
        <v>15</v>
      </c>
      <c r="V15" s="31"/>
    </row>
    <row r="16" spans="1:25" x14ac:dyDescent="0.25">
      <c r="B16">
        <v>2035</v>
      </c>
      <c r="C16" s="18">
        <f t="shared" si="6"/>
        <v>73139.665199685449</v>
      </c>
      <c r="D16" cm="1">
        <f t="array" ref="D16">Tax(C16,$U$9:$V$13)</f>
        <v>11189.636366000001</v>
      </c>
      <c r="E16" cm="1">
        <f t="array" ref="E16">Tax(C16,$X$9:$Y$13)</f>
        <v>4482.7483658000001</v>
      </c>
      <c r="F16" s="16">
        <f t="shared" si="1"/>
        <v>15672.384731800001</v>
      </c>
      <c r="G16" s="15">
        <f t="shared" si="2"/>
        <v>57467.280467885445</v>
      </c>
      <c r="H16">
        <f t="shared" ca="1" si="3"/>
        <v>13165.139735943379</v>
      </c>
      <c r="I16">
        <f t="shared" ca="1" si="7"/>
        <v>13165.139735943379</v>
      </c>
      <c r="J16">
        <f t="shared" ca="1" si="8"/>
        <v>0</v>
      </c>
      <c r="K16">
        <v>13165.139735943379</v>
      </c>
      <c r="L16">
        <f t="shared" ca="1" si="9"/>
        <v>0</v>
      </c>
      <c r="M16" s="14">
        <f t="shared" ca="1" si="4"/>
        <v>59974.525463742073</v>
      </c>
      <c r="N16" t="e" cm="1">
        <f t="array" aca="1" ref="N16" ca="1">Tax(M16,$U$9:$V$13) + Tax(M16,$X$9:$Y$13)</f>
        <v>#VALUE!</v>
      </c>
      <c r="O16" s="15" t="e">
        <f t="shared" ca="1" si="5"/>
        <v>#VALUE!</v>
      </c>
      <c r="P16" s="15" t="e">
        <f t="shared" ca="1" si="0"/>
        <v>#VALUE!</v>
      </c>
      <c r="Q16" s="15" t="e">
        <f t="shared" ca="1" si="10"/>
        <v>#VALUE!</v>
      </c>
      <c r="U16" s="10" t="s">
        <v>2</v>
      </c>
      <c r="V16" s="11" t="s">
        <v>16</v>
      </c>
    </row>
    <row r="17" spans="2:26" x14ac:dyDescent="0.25">
      <c r="B17">
        <v>2036</v>
      </c>
      <c r="C17" s="18">
        <f t="shared" si="6"/>
        <v>74602.458503679154</v>
      </c>
      <c r="D17" cm="1">
        <f t="array" ref="D17">Tax(C17,$U$9:$V$13)</f>
        <v>11489.508992500001</v>
      </c>
      <c r="E17" cm="1">
        <f t="array" ref="E17">Tax(C17,$X$9:$Y$13)</f>
        <v>4616.5939527499995</v>
      </c>
      <c r="F17" s="16">
        <f t="shared" si="1"/>
        <v>16106.102945250001</v>
      </c>
      <c r="G17" s="15">
        <f t="shared" si="2"/>
        <v>58496.355558429153</v>
      </c>
      <c r="H17">
        <f t="shared" ca="1" si="3"/>
        <v>13428.442530662247</v>
      </c>
      <c r="I17">
        <f t="shared" ca="1" si="7"/>
        <v>13428.442530662247</v>
      </c>
      <c r="J17">
        <f t="shared" ca="1" si="8"/>
        <v>0</v>
      </c>
      <c r="K17">
        <v>13428.442530662247</v>
      </c>
      <c r="L17">
        <f t="shared" ca="1" si="9"/>
        <v>0</v>
      </c>
      <c r="M17" s="14">
        <f t="shared" ca="1" si="4"/>
        <v>61174.015973016911</v>
      </c>
      <c r="N17" t="e" cm="1">
        <f t="array" aca="1" ref="N17" ca="1">Tax(M17,$U$9:$V$13) + Tax(M17,$X$9:$Y$13)</f>
        <v>#VALUE!</v>
      </c>
      <c r="O17" s="15" t="e">
        <f t="shared" ca="1" si="5"/>
        <v>#VALUE!</v>
      </c>
      <c r="P17" s="15" t="e">
        <f t="shared" ca="1" si="0"/>
        <v>#VALUE!</v>
      </c>
      <c r="Q17" s="15" t="e">
        <f t="shared" ca="1" si="10"/>
        <v>#VALUE!</v>
      </c>
      <c r="U17" s="19">
        <v>2018</v>
      </c>
      <c r="V17" s="21">
        <v>26230</v>
      </c>
    </row>
    <row r="18" spans="2:26" x14ac:dyDescent="0.25">
      <c r="B18">
        <v>2037</v>
      </c>
      <c r="C18" s="18">
        <f t="shared" si="6"/>
        <v>76094.507673752742</v>
      </c>
      <c r="D18" cm="1">
        <f t="array" ref="D18">Tax(C18,$U$9:$V$13)</f>
        <v>11795.3790785</v>
      </c>
      <c r="E18" cm="1">
        <f t="array" ref="E18">Tax(C18,$X$9:$Y$13)</f>
        <v>4753.1164545499996</v>
      </c>
      <c r="F18" s="16">
        <f t="shared" si="1"/>
        <v>16548.495533050002</v>
      </c>
      <c r="G18" s="15">
        <f t="shared" si="2"/>
        <v>59546.01214070274</v>
      </c>
      <c r="H18">
        <f t="shared" ca="1" si="3"/>
        <v>13697.011381275493</v>
      </c>
      <c r="I18">
        <f t="shared" ca="1" si="7"/>
        <v>13697.011381275493</v>
      </c>
      <c r="J18">
        <f t="shared" ca="1" si="8"/>
        <v>0</v>
      </c>
      <c r="K18">
        <v>13697.011381275493</v>
      </c>
      <c r="L18">
        <f t="shared" ca="1" si="9"/>
        <v>0</v>
      </c>
      <c r="M18" s="14">
        <f t="shared" ca="1" si="4"/>
        <v>62397.496292477248</v>
      </c>
      <c r="N18" t="e" cm="1">
        <f t="array" aca="1" ref="N18" ca="1">Tax(M18,$U$9:$V$13) + Tax(M18,$X$9:$Y$13)</f>
        <v>#VALUE!</v>
      </c>
      <c r="O18" s="15" t="e">
        <f t="shared" ca="1" si="5"/>
        <v>#VALUE!</v>
      </c>
      <c r="P18" s="15" t="e">
        <f t="shared" ca="1" si="0"/>
        <v>#VALUE!</v>
      </c>
      <c r="Q18" s="15" t="e">
        <f t="shared" ca="1" si="10"/>
        <v>#VALUE!</v>
      </c>
      <c r="U18" s="20">
        <v>2019</v>
      </c>
      <c r="V18" s="6">
        <v>26500</v>
      </c>
    </row>
    <row r="19" spans="2:26" x14ac:dyDescent="0.25">
      <c r="U19" s="20">
        <v>2020</v>
      </c>
      <c r="V19" s="6">
        <v>27230</v>
      </c>
    </row>
    <row r="20" spans="2:26" x14ac:dyDescent="0.25">
      <c r="C20" s="15"/>
      <c r="P20" t="s">
        <v>27</v>
      </c>
      <c r="Q20" s="15" t="e">
        <f ca="1">SUM(Q6:Q18)</f>
        <v>#VALUE!</v>
      </c>
      <c r="U20" s="20">
        <v>2021</v>
      </c>
      <c r="V20" s="6">
        <v>27830</v>
      </c>
    </row>
    <row r="21" spans="2:26" x14ac:dyDescent="0.25">
      <c r="U21" s="20">
        <v>2022</v>
      </c>
      <c r="V21" s="6">
        <v>29210</v>
      </c>
    </row>
    <row r="22" spans="2:26" x14ac:dyDescent="0.25">
      <c r="U22" s="20">
        <v>2023</v>
      </c>
      <c r="V22" s="6">
        <v>30780</v>
      </c>
      <c r="Z22" t="s">
        <v>8</v>
      </c>
    </row>
    <row r="23" spans="2:26" x14ac:dyDescent="0.25">
      <c r="U23" s="20">
        <v>2024</v>
      </c>
      <c r="V23" s="6">
        <v>31560</v>
      </c>
    </row>
    <row r="24" spans="2:26" x14ac:dyDescent="0.25">
      <c r="U24" s="20">
        <v>2025</v>
      </c>
      <c r="V24" s="6">
        <v>32490</v>
      </c>
    </row>
    <row r="25" spans="2:26" x14ac:dyDescent="0.25">
      <c r="U25" s="22">
        <v>2026</v>
      </c>
      <c r="V25" s="23">
        <f ca="1">_xlfn.FORECAST.LINEAR(U25, $V$17:(INDIRECT(ADDRESS(ROW()-1,COLUMN()))), $U$17:(INDIRECT(ADDRESS(ROW()-1,COLUMN()-1))))</f>
        <v>33326.071428571595</v>
      </c>
      <c r="W25" s="32" t="s">
        <v>17</v>
      </c>
      <c r="X25" s="33"/>
    </row>
    <row r="26" spans="2:26" x14ac:dyDescent="0.25">
      <c r="U26" s="22">
        <v>2027</v>
      </c>
      <c r="V26" s="23">
        <f ca="1">_xlfn.FORECAST.LINEAR(U26, $V$17:(INDIRECT(ADDRESS(ROW()-1,COLUMN()))), $U$17:(INDIRECT(ADDRESS(ROW()-1,COLUMN()-1))))</f>
        <v>34292.142857142957</v>
      </c>
    </row>
    <row r="27" spans="2:26" x14ac:dyDescent="0.25">
      <c r="U27" s="22">
        <v>2028</v>
      </c>
      <c r="V27" s="23">
        <f ca="1">_xlfn.FORECAST.LINEAR(U27, $V$17:(INDIRECT(ADDRESS(ROW()-1,COLUMN()))), $U$17:(INDIRECT(ADDRESS(ROW()-1,COLUMN()-1))))</f>
        <v>35258.214285714319</v>
      </c>
    </row>
    <row r="28" spans="2:26" x14ac:dyDescent="0.25">
      <c r="U28" s="22">
        <v>2029</v>
      </c>
      <c r="V28" s="23">
        <f ca="1">_xlfn.FORECAST.LINEAR(U28, $V$17:(INDIRECT(ADDRESS(ROW()-1,COLUMN()))), $U$17:(INDIRECT(ADDRESS(ROW()-1,COLUMN()-1))))</f>
        <v>36224.285714285914</v>
      </c>
    </row>
    <row r="29" spans="2:26" x14ac:dyDescent="0.25">
      <c r="U29" s="22">
        <v>2030</v>
      </c>
      <c r="V29" s="23">
        <f ca="1">_xlfn.FORECAST.LINEAR(U29, $V$17:(INDIRECT(ADDRESS(ROW()-1,COLUMN()))), $U$17:(INDIRECT(ADDRESS(ROW()-1,COLUMN()-1))))</f>
        <v>37190.357142857276</v>
      </c>
    </row>
    <row r="30" spans="2:26" x14ac:dyDescent="0.25">
      <c r="U30" s="22">
        <v>2031</v>
      </c>
      <c r="V30" s="23">
        <f ca="1">_xlfn.FORECAST.LINEAR(U30, $V$17:(INDIRECT(ADDRESS(ROW()-1,COLUMN()))), $U$17:(INDIRECT(ADDRESS(ROW()-1,COLUMN()-1))))</f>
        <v>38156.428571428638</v>
      </c>
    </row>
    <row r="31" spans="2:26" x14ac:dyDescent="0.25">
      <c r="U31" s="22">
        <v>2032</v>
      </c>
      <c r="V31" s="23">
        <f ca="1">_xlfn.FORECAST.LINEAR(U31, $V$17:(INDIRECT(ADDRESS(ROW()-1,COLUMN()))), $U$17:(INDIRECT(ADDRESS(ROW()-1,COLUMN()-1))))</f>
        <v>39122.500000000233</v>
      </c>
    </row>
    <row r="32" spans="2:26" x14ac:dyDescent="0.25">
      <c r="U32" s="22">
        <v>2033</v>
      </c>
      <c r="V32" s="23">
        <f ca="1">_xlfn.FORECAST.LINEAR(U32, $V$17:(INDIRECT(ADDRESS(ROW()-1,COLUMN()))), $U$17:(INDIRECT(ADDRESS(ROW()-1,COLUMN()-1))))</f>
        <v>40088.571428571595</v>
      </c>
    </row>
    <row r="33" spans="21:22" x14ac:dyDescent="0.25">
      <c r="U33" s="22">
        <v>2034</v>
      </c>
      <c r="V33" s="23">
        <f ca="1">_xlfn.FORECAST.LINEAR(U33, $V$17:(INDIRECT(ADDRESS(ROW()-1,COLUMN()))), $U$17:(INDIRECT(ADDRESS(ROW()-1,COLUMN()-1))))</f>
        <v>41054.642857142957</v>
      </c>
    </row>
    <row r="34" spans="21:22" x14ac:dyDescent="0.25">
      <c r="U34" s="22">
        <v>2035</v>
      </c>
      <c r="V34" s="23">
        <f ca="1">_xlfn.FORECAST.LINEAR(U34, $V$17:(INDIRECT(ADDRESS(ROW()-1,COLUMN()))), $U$17:(INDIRECT(ADDRESS(ROW()-1,COLUMN()-1))))</f>
        <v>42020.714285714552</v>
      </c>
    </row>
    <row r="35" spans="21:22" x14ac:dyDescent="0.25">
      <c r="U35" s="22">
        <v>2036</v>
      </c>
      <c r="V35" s="23">
        <f ca="1">_xlfn.FORECAST.LINEAR(U35, $V$17:(INDIRECT(ADDRESS(ROW()-1,COLUMN()))), $U$17:(INDIRECT(ADDRESS(ROW()-1,COLUMN()-1))))</f>
        <v>42986.785714285914</v>
      </c>
    </row>
    <row r="36" spans="21:22" x14ac:dyDescent="0.25">
      <c r="U36" s="22">
        <v>2037</v>
      </c>
      <c r="V36" s="23">
        <f ca="1">_xlfn.FORECAST.LINEAR(U36, $V$17:(INDIRECT(ADDRESS(ROW()-1,COLUMN()))), $U$17:(INDIRECT(ADDRESS(ROW()-1,COLUMN()-1))))</f>
        <v>43952.857142857276</v>
      </c>
    </row>
    <row r="37" spans="21:22" x14ac:dyDescent="0.25">
      <c r="U37" s="22">
        <v>2038</v>
      </c>
      <c r="V37" s="23">
        <f ca="1">_xlfn.FORECAST.LINEAR(U37, $V$17:(INDIRECT(ADDRESS(ROW()-1,COLUMN()))), $U$17:(INDIRECT(ADDRESS(ROW()-1,COLUMN()-1))))</f>
        <v>44918.928571428871</v>
      </c>
    </row>
    <row r="38" spans="21:22" x14ac:dyDescent="0.25">
      <c r="U38" s="22">
        <v>2039</v>
      </c>
      <c r="V38" s="23">
        <f ca="1">_xlfn.FORECAST.LINEAR(U38, $V$17:(INDIRECT(ADDRESS(ROW()-1,COLUMN()))), $U$17:(INDIRECT(ADDRESS(ROW()-1,COLUMN()-1))))</f>
        <v>45885.000000000233</v>
      </c>
    </row>
    <row r="39" spans="21:22" x14ac:dyDescent="0.25">
      <c r="U39" s="22">
        <v>2040</v>
      </c>
      <c r="V39" s="23">
        <f ca="1">_xlfn.FORECAST.LINEAR(U39, $V$17:(INDIRECT(ADDRESS(ROW()-1,COLUMN()))), $U$17:(INDIRECT(ADDRESS(ROW()-1,COLUMN()-1))))</f>
        <v>46851.071428571595</v>
      </c>
    </row>
    <row r="40" spans="21:22" x14ac:dyDescent="0.25">
      <c r="U40" s="22">
        <v>2041</v>
      </c>
      <c r="V40" s="23">
        <f ca="1">_xlfn.FORECAST.LINEAR(U40, $V$17:(INDIRECT(ADDRESS(ROW()-1,COLUMN()))), $U$17:(INDIRECT(ADDRESS(ROW()-1,COLUMN()-1))))</f>
        <v>47817.14285714319</v>
      </c>
    </row>
    <row r="41" spans="21:22" x14ac:dyDescent="0.25">
      <c r="U41" s="22">
        <v>2042</v>
      </c>
      <c r="V41" s="23">
        <f ca="1">_xlfn.FORECAST.LINEAR(U41, $V$17:(INDIRECT(ADDRESS(ROW()-1,COLUMN()))), $U$17:(INDIRECT(ADDRESS(ROW()-1,COLUMN()-1))))</f>
        <v>48783.214285714552</v>
      </c>
    </row>
    <row r="42" spans="21:22" x14ac:dyDescent="0.25">
      <c r="U42" s="22">
        <v>2043</v>
      </c>
      <c r="V42" s="23">
        <f ca="1">_xlfn.FORECAST.LINEAR(U42, $V$17:(INDIRECT(ADDRESS(ROW()-1,COLUMN()))), $U$17:(INDIRECT(ADDRESS(ROW()-1,COLUMN()-1))))</f>
        <v>49749.285714285914</v>
      </c>
    </row>
    <row r="43" spans="21:22" x14ac:dyDescent="0.25">
      <c r="U43" s="24">
        <v>2044</v>
      </c>
      <c r="V43" s="25">
        <f ca="1">_xlfn.FORECAST.LINEAR(U43, $V$17:(INDIRECT(ADDRESS(ROW()-1,COLUMN()))), $U$17:(INDIRECT(ADDRESS(ROW()-1,COLUMN()-1))))</f>
        <v>50715.357142857509</v>
      </c>
    </row>
  </sheetData>
  <mergeCells count="9">
    <mergeCell ref="U15:V15"/>
    <mergeCell ref="W25:X25"/>
    <mergeCell ref="X7:Y7"/>
    <mergeCell ref="A2:B2"/>
    <mergeCell ref="D2:E2"/>
    <mergeCell ref="G2:H2"/>
    <mergeCell ref="A3:B3"/>
    <mergeCell ref="U7:V7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Li</dc:creator>
  <cp:lastModifiedBy>Kevin Li</cp:lastModifiedBy>
  <dcterms:created xsi:type="dcterms:W3CDTF">2026-04-27T20:59:05Z</dcterms:created>
  <dcterms:modified xsi:type="dcterms:W3CDTF">2026-05-20T22:08:34Z</dcterms:modified>
</cp:coreProperties>
</file>