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evin\Projects\RRSP-Deduction-Model\"/>
    </mc:Choice>
  </mc:AlternateContent>
  <xr:revisionPtr revIDLastSave="0" documentId="13_ncr:1_{FD325E49-3278-4140-AC37-E237D95BBD81}" xr6:coauthVersionLast="47" xr6:coauthVersionMax="47" xr10:uidLastSave="{00000000-0000-0000-0000-000000000000}"/>
  <bookViews>
    <workbookView xWindow="-120" yWindow="-120" windowWidth="29040" windowHeight="16440" xr2:uid="{817A02EA-1C0F-4FA1-8E53-893B6EB88C4E}"/>
  </bookViews>
  <sheets>
    <sheet name="Sheet1" sheetId="1" r:id="rId1"/>
  </sheets>
  <functionGroups builtInGroupCount="19"/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6" i="1" l="1"/>
  <c r="C6" i="1"/>
  <c r="C7" i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D6" i="1" a="1"/>
  <c r="E6" i="1" a="1"/>
  <c r="H6" i="1" l="1"/>
  <c r="C18" i="1"/>
  <c r="E6" i="1"/>
  <c r="D6" i="1"/>
  <c r="D18" i="1"/>
  <c r="E18" i="1"/>
  <c r="W25" i="1"/>
  <c r="F18" i="1" l="1"/>
  <c r="G18" i="1"/>
  <c r="C19" i="1"/>
  <c r="F6" i="1"/>
  <c r="D19" i="1"/>
  <c r="E19" i="1"/>
  <c r="E7" i="1" a="1"/>
  <c r="D7" i="1" a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H18" i="1" l="1"/>
  <c r="I18" i="1" s="1"/>
  <c r="M18" i="1" s="1"/>
  <c r="F19" i="1"/>
  <c r="H19" i="1"/>
  <c r="I19" i="1" s="1"/>
  <c r="M19" i="1" s="1"/>
  <c r="G19" i="1"/>
  <c r="C20" i="1"/>
  <c r="D7" i="1"/>
  <c r="F7" i="1" s="1"/>
  <c r="G7" i="1" s="1"/>
  <c r="E7" i="1"/>
  <c r="H7" i="1"/>
  <c r="I7" i="1" s="1"/>
  <c r="D20" i="1"/>
  <c r="E20" i="1"/>
  <c r="N18" i="1"/>
  <c r="N19" i="1"/>
  <c r="D8" i="1" a="1"/>
  <c r="E8" i="1" a="1"/>
  <c r="W42" i="1"/>
  <c r="P18" i="1" l="1"/>
  <c r="Q18" i="1" s="1"/>
  <c r="F20" i="1"/>
  <c r="O19" i="1"/>
  <c r="P19" i="1"/>
  <c r="Q19" i="1" s="1"/>
  <c r="O18" i="1"/>
  <c r="H20" i="1"/>
  <c r="I20" i="1" s="1"/>
  <c r="G20" i="1"/>
  <c r="C21" i="1"/>
  <c r="M6" i="1"/>
  <c r="J6" i="1"/>
  <c r="L6" i="1" s="1"/>
  <c r="G6" i="1"/>
  <c r="E8" i="1"/>
  <c r="H8" i="1"/>
  <c r="I8" i="1" s="1"/>
  <c r="D8" i="1"/>
  <c r="D21" i="1"/>
  <c r="E21" i="1"/>
  <c r="D9" i="1" a="1"/>
  <c r="N6" i="1" a="1"/>
  <c r="E9" i="1" a="1"/>
  <c r="W43" i="1"/>
  <c r="W44" i="1"/>
  <c r="W45" i="1"/>
  <c r="W46" i="1"/>
  <c r="W47" i="1"/>
  <c r="W48" i="1"/>
  <c r="W49" i="1"/>
  <c r="W50" i="1" s="1"/>
  <c r="F21" i="1" l="1"/>
  <c r="M20" i="1"/>
  <c r="C22" i="1"/>
  <c r="G21" i="1"/>
  <c r="H21" i="1"/>
  <c r="I21" i="1" s="1"/>
  <c r="E9" i="1"/>
  <c r="J7" i="1"/>
  <c r="L7" i="1" s="1"/>
  <c r="N6" i="1"/>
  <c r="O6" i="1" s="1"/>
  <c r="M7" i="1"/>
  <c r="F8" i="1"/>
  <c r="G8" i="1" s="1"/>
  <c r="H9" i="1"/>
  <c r="I9" i="1" s="1"/>
  <c r="D9" i="1"/>
  <c r="N20" i="1"/>
  <c r="E22" i="1"/>
  <c r="D22" i="1"/>
  <c r="D10" i="1" a="1"/>
  <c r="E10" i="1" a="1"/>
  <c r="N7" i="1" a="1"/>
  <c r="W51" i="1"/>
  <c r="W52" i="1" s="1"/>
  <c r="F22" i="1" l="1"/>
  <c r="P20" i="1"/>
  <c r="Q20" i="1" s="1"/>
  <c r="M21" i="1"/>
  <c r="G22" i="1"/>
  <c r="H22" i="1"/>
  <c r="I22" i="1" s="1"/>
  <c r="C23" i="1"/>
  <c r="O20" i="1"/>
  <c r="P6" i="1"/>
  <c r="Q6" i="1" s="1"/>
  <c r="E10" i="1"/>
  <c r="J8" i="1"/>
  <c r="L8" i="1" s="1"/>
  <c r="N7" i="1"/>
  <c r="P7" i="1" s="1"/>
  <c r="Q7" i="1" s="1"/>
  <c r="F9" i="1"/>
  <c r="G9" i="1" s="1"/>
  <c r="M8" i="1"/>
  <c r="H10" i="1"/>
  <c r="I10" i="1" s="1"/>
  <c r="D10" i="1"/>
  <c r="F10" i="1" s="1"/>
  <c r="G10" i="1" s="1"/>
  <c r="E23" i="1"/>
  <c r="D23" i="1"/>
  <c r="N21" i="1"/>
  <c r="N8" i="1" a="1"/>
  <c r="E11" i="1" a="1"/>
  <c r="D11" i="1" a="1"/>
  <c r="P21" i="1" l="1"/>
  <c r="Q21" i="1" s="1"/>
  <c r="F23" i="1"/>
  <c r="M22" i="1"/>
  <c r="O21" i="1"/>
  <c r="H23" i="1"/>
  <c r="I23" i="1" s="1"/>
  <c r="M23" i="1" s="1"/>
  <c r="G23" i="1"/>
  <c r="C24" i="1"/>
  <c r="J9" i="1"/>
  <c r="L9" i="1" s="1"/>
  <c r="N8" i="1"/>
  <c r="O7" i="1"/>
  <c r="M9" i="1"/>
  <c r="E11" i="1"/>
  <c r="H11" i="1"/>
  <c r="I11" i="1" s="1"/>
  <c r="D11" i="1"/>
  <c r="D24" i="1"/>
  <c r="E24" i="1"/>
  <c r="N22" i="1"/>
  <c r="N23" i="1"/>
  <c r="D12" i="1" a="1"/>
  <c r="E12" i="1" a="1"/>
  <c r="N9" i="1" a="1"/>
  <c r="P22" i="1" l="1"/>
  <c r="Q22" i="1" s="1"/>
  <c r="F24" i="1"/>
  <c r="O23" i="1"/>
  <c r="O22" i="1"/>
  <c r="P23" i="1"/>
  <c r="Q23" i="1" s="1"/>
  <c r="H24" i="1"/>
  <c r="I24" i="1" s="1"/>
  <c r="M24" i="1" s="1"/>
  <c r="G24" i="1"/>
  <c r="C25" i="1"/>
  <c r="J10" i="1"/>
  <c r="L10" i="1" s="1"/>
  <c r="N9" i="1"/>
  <c r="P9" i="1" s="1"/>
  <c r="Q9" i="1" s="1"/>
  <c r="O8" i="1"/>
  <c r="P8" i="1"/>
  <c r="Q8" i="1" s="1"/>
  <c r="M10" i="1"/>
  <c r="F11" i="1"/>
  <c r="G11" i="1" s="1"/>
  <c r="E12" i="1"/>
  <c r="H12" i="1"/>
  <c r="I12" i="1" s="1"/>
  <c r="D12" i="1"/>
  <c r="D25" i="1"/>
  <c r="E25" i="1"/>
  <c r="N24" i="1"/>
  <c r="E13" i="1" a="1"/>
  <c r="D13" i="1" a="1"/>
  <c r="N10" i="1" a="1"/>
  <c r="F25" i="1" l="1"/>
  <c r="O24" i="1"/>
  <c r="P24" i="1"/>
  <c r="Q24" i="1" s="1"/>
  <c r="G25" i="1"/>
  <c r="H25" i="1"/>
  <c r="I25" i="1" s="1"/>
  <c r="M25" i="1" s="1"/>
  <c r="J11" i="1"/>
  <c r="L11" i="1" s="1"/>
  <c r="N10" i="1"/>
  <c r="P10" i="1" s="1"/>
  <c r="Q10" i="1" s="1"/>
  <c r="O9" i="1"/>
  <c r="M11" i="1"/>
  <c r="E13" i="1"/>
  <c r="H13" i="1"/>
  <c r="I13" i="1" s="1"/>
  <c r="F12" i="1"/>
  <c r="G12" i="1" s="1"/>
  <c r="D13" i="1"/>
  <c r="F13" i="1" s="1"/>
  <c r="G13" i="1" s="1"/>
  <c r="N25" i="1"/>
  <c r="N11" i="1" a="1"/>
  <c r="E14" i="1" a="1"/>
  <c r="D14" i="1" a="1"/>
  <c r="O25" i="1" l="1"/>
  <c r="P25" i="1"/>
  <c r="Q25" i="1" s="1"/>
  <c r="J12" i="1"/>
  <c r="N11" i="1"/>
  <c r="O11" i="1" s="1"/>
  <c r="O10" i="1"/>
  <c r="M12" i="1"/>
  <c r="E14" i="1"/>
  <c r="H14" i="1"/>
  <c r="I14" i="1" s="1"/>
  <c r="D14" i="1"/>
  <c r="D15" i="1" a="1"/>
  <c r="N12" i="1" a="1"/>
  <c r="E15" i="1" a="1"/>
  <c r="F14" i="1" l="1"/>
  <c r="G14" i="1" s="1"/>
  <c r="L12" i="1"/>
  <c r="J13" i="1"/>
  <c r="N12" i="1"/>
  <c r="P11" i="1"/>
  <c r="Q11" i="1" s="1"/>
  <c r="E15" i="1"/>
  <c r="H15" i="1"/>
  <c r="I15" i="1" s="1"/>
  <c r="D15" i="1"/>
  <c r="F15" i="1" s="1"/>
  <c r="G15" i="1" s="1"/>
  <c r="D16" i="1" a="1"/>
  <c r="E16" i="1" a="1"/>
  <c r="L13" i="1" l="1"/>
  <c r="M13" i="1"/>
  <c r="J14" i="1"/>
  <c r="M14" i="1"/>
  <c r="O12" i="1"/>
  <c r="P12" i="1"/>
  <c r="Q12" i="1" s="1"/>
  <c r="E16" i="1"/>
  <c r="H16" i="1"/>
  <c r="I16" i="1" s="1"/>
  <c r="D16" i="1"/>
  <c r="N14" i="1" a="1"/>
  <c r="D17" i="1" a="1"/>
  <c r="E17" i="1" a="1"/>
  <c r="N13" i="1" a="1"/>
  <c r="L14" i="1" l="1"/>
  <c r="N13" i="1"/>
  <c r="O13" i="1" s="1"/>
  <c r="J15" i="1"/>
  <c r="N14" i="1"/>
  <c r="P14" i="1" s="1"/>
  <c r="Q14" i="1" s="1"/>
  <c r="M15" i="1"/>
  <c r="P13" i="1"/>
  <c r="Q13" i="1" s="1"/>
  <c r="F16" i="1"/>
  <c r="G16" i="1" s="1"/>
  <c r="E17" i="1"/>
  <c r="H17" i="1"/>
  <c r="I17" i="1" s="1"/>
  <c r="D17" i="1"/>
  <c r="N15" i="1" a="1"/>
  <c r="L15" i="1" l="1"/>
  <c r="J16" i="1"/>
  <c r="O14" i="1"/>
  <c r="N15" i="1"/>
  <c r="O15" i="1" s="1"/>
  <c r="F17" i="1"/>
  <c r="G17" i="1" s="1"/>
  <c r="M16" i="1"/>
  <c r="N16" i="1" a="1"/>
  <c r="L16" i="1" l="1"/>
  <c r="J17" i="1"/>
  <c r="J18" i="1" s="1"/>
  <c r="P15" i="1"/>
  <c r="Q15" i="1" s="1"/>
  <c r="N16" i="1"/>
  <c r="P16" i="1" s="1"/>
  <c r="Q16" i="1" s="1"/>
  <c r="M17" i="1"/>
  <c r="N17" i="1" a="1"/>
  <c r="J19" i="1" l="1"/>
  <c r="L17" i="1"/>
  <c r="L18" i="1" s="1"/>
  <c r="O16" i="1"/>
  <c r="N17" i="1"/>
  <c r="L19" i="1" l="1"/>
  <c r="J20" i="1"/>
  <c r="O17" i="1"/>
  <c r="P17" i="1"/>
  <c r="Q17" i="1" s="1"/>
  <c r="L20" i="1" l="1"/>
  <c r="J21" i="1"/>
  <c r="Q208" i="1"/>
  <c r="Q200" i="1"/>
  <c r="S6" i="1"/>
  <c r="L21" i="1" l="1"/>
  <c r="J22" i="1"/>
  <c r="L22" i="1" l="1"/>
  <c r="J23" i="1"/>
  <c r="L23" i="1" l="1"/>
  <c r="J24" i="1"/>
  <c r="L24" i="1" l="1"/>
  <c r="J25" i="1"/>
  <c r="L2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<sst xmlns="http://schemas.openxmlformats.org/spreadsheetml/2006/main" count="32" uniqueCount="28">
  <si>
    <t>Starting Income</t>
  </si>
  <si>
    <t>Contribution Limit</t>
  </si>
  <si>
    <t>Year</t>
  </si>
  <si>
    <t>Taxable income threshold</t>
  </si>
  <si>
    <t>Tax rate</t>
  </si>
  <si>
    <t>Federal Tax Rates</t>
  </si>
  <si>
    <t>Ontario Tax Rates</t>
  </si>
  <si>
    <t xml:space="preserve">  </t>
  </si>
  <si>
    <t>Federal Tax</t>
  </si>
  <si>
    <t>Provincial Tax</t>
  </si>
  <si>
    <t>Total Tax</t>
  </si>
  <si>
    <t>Net Income</t>
  </si>
  <si>
    <t>RRSP Contribution Maximums</t>
  </si>
  <si>
    <t>Contribution limits</t>
  </si>
  <si>
    <t>Forcasted Limits</t>
  </si>
  <si>
    <t xml:space="preserve">New Taxable Income </t>
  </si>
  <si>
    <t>RRSP Contribution Amount</t>
  </si>
  <si>
    <t>Tax Payable</t>
  </si>
  <si>
    <t>New Net Income</t>
  </si>
  <si>
    <t>RRSP Deduction Claimed</t>
  </si>
  <si>
    <t>RRSP Carryforward Room</t>
  </si>
  <si>
    <t>Refund</t>
  </si>
  <si>
    <t>PV Refund</t>
  </si>
  <si>
    <t>RRSP Unclaimed Deductions</t>
  </si>
  <si>
    <t>Total</t>
  </si>
  <si>
    <t>Total Years</t>
  </si>
  <si>
    <t>Projected Salary</t>
  </si>
  <si>
    <t>Discount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</si>
</sst>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;[Red]\-&quot;$&quot;#,##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44" fontId="0" fillId="2" borderId="1" xfId="1" applyFont="1" applyFill="1" applyBorder="1"/>
    <xf numFmtId="9" fontId="0" fillId="2" borderId="1" xfId="0" applyNumberFormat="1" applyFill="1" applyBorder="1"/>
    <xf numFmtId="9" fontId="0" fillId="0" borderId="2" xfId="2" applyFont="1" applyBorder="1"/>
    <xf numFmtId="44" fontId="0" fillId="0" borderId="3" xfId="1" applyFont="1" applyBorder="1"/>
    <xf numFmtId="6" fontId="0" fillId="0" borderId="3" xfId="0" applyNumberFormat="1" applyBorder="1"/>
    <xf numFmtId="9" fontId="0" fillId="0" borderId="4" xfId="2" applyFont="1" applyBorder="1"/>
    <xf numFmtId="6" fontId="0" fillId="0" borderId="5" xfId="0" applyNumberFormat="1" applyBorder="1"/>
    <xf numFmtId="0" fontId="0" fillId="0" borderId="6" xfId="0" applyBorder="1"/>
    <xf numFmtId="0" fontId="0" fillId="0" borderId="7" xfId="0" applyBorder="1"/>
    <xf numFmtId="10" fontId="0" fillId="0" borderId="2" xfId="2" applyNumberFormat="1" applyFont="1" applyBorder="1"/>
    <xf numFmtId="10" fontId="0" fillId="0" borderId="4" xfId="2" applyNumberFormat="1" applyFont="1" applyBorder="1"/>
    <xf numFmtId="44" fontId="0" fillId="0" borderId="0" xfId="1" applyFont="1"/>
    <xf numFmtId="44" fontId="0" fillId="0" borderId="0" xfId="0" applyNumberFormat="1"/>
    <xf numFmtId="0" fontId="2" fillId="0" borderId="0" xfId="0" applyFont="1"/>
    <xf numFmtId="44" fontId="2" fillId="0" borderId="0" xfId="1" applyFont="1"/>
    <xf numFmtId="44" fontId="2" fillId="0" borderId="0" xfId="0" applyNumberFormat="1" applyFont="1"/>
    <xf numFmtId="0" fontId="0" fillId="0" borderId="8" xfId="0" applyBorder="1"/>
    <xf numFmtId="44" fontId="0" fillId="0" borderId="9" xfId="1" applyFont="1" applyBorder="1"/>
    <xf numFmtId="0" fontId="0" fillId="3" borderId="2" xfId="0" applyFill="1" applyBorder="1"/>
    <xf numFmtId="44" fontId="0" fillId="3" borderId="3" xfId="1" applyFont="1" applyFill="1" applyBorder="1"/>
    <xf numFmtId="9" fontId="0" fillId="2" borderId="0" xfId="0" applyNumberFormat="1" applyFill="1"/>
    <xf numFmtId="0" fontId="0" fillId="0" borderId="10" xfId="0" applyBorder="1"/>
    <xf numFmtId="0" fontId="0" fillId="0" borderId="10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44" fontId="0" fillId="0" borderId="0" xfId="0" applyNumberFormat="1" applyAlignment="1">
      <alignment vertical="center"/>
    </xf>
    <xf numFmtId="0" fontId="0" fillId="3" borderId="0" xfId="0" applyFill="1"/>
    <xf numFmtId="0" fontId="2" fillId="0" borderId="10" xfId="0" applyFont="1" applyBorder="1" applyAlignment="1">
      <alignment horizontal="center" vertical="center" wrapText="1"/>
    </xf>
    <xf numFmtId="164" fontId="0" fillId="2" borderId="1" xfId="3" applyNumberFormat="1" applyFont="1" applyFill="1" applyBorder="1"/>
    <xf numFmtId="44" fontId="0" fillId="3" borderId="0" xfId="0" applyNumberFormat="1" applyFill="1"/>
    <xf numFmtId="0" fontId="2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44" fontId="0" fillId="0" borderId="11" xfId="0" applyNumberFormat="1" applyBorder="1" applyAlignment="1">
      <alignment vertical="center"/>
    </xf>
    <xf numFmtId="44" fontId="0" fillId="0" borderId="13" xfId="0" applyNumberFormat="1" applyBorder="1" applyAlignment="1">
      <alignment vertical="center"/>
    </xf>
    <xf numFmtId="44" fontId="0" fillId="0" borderId="2" xfId="0" applyNumberFormat="1" applyBorder="1" applyAlignment="1">
      <alignment vertical="center"/>
    </xf>
    <xf numFmtId="44" fontId="0" fillId="0" borderId="3" xfId="0" applyNumberFormat="1" applyBorder="1" applyAlignment="1">
      <alignment vertical="center"/>
    </xf>
    <xf numFmtId="44" fontId="0" fillId="0" borderId="4" xfId="0" applyNumberFormat="1" applyBorder="1" applyAlignment="1">
      <alignment vertical="center"/>
    </xf>
    <xf numFmtId="44" fontId="0" fillId="0" borderId="5" xfId="0" applyNumberFormat="1" applyBorder="1" applyAlignment="1">
      <alignment vertical="center"/>
    </xf>
    <xf numFmtId="0" fontId="0" fillId="0" borderId="12" xfId="0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9" fontId="2" fillId="2" borderId="0" xfId="0" applyNumberFormat="1" applyFont="1" applyFill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91109</xdr:rowOff>
    </xdr:from>
    <xdr:to>
      <xdr:col>3</xdr:col>
      <xdr:colOff>604631</xdr:colOff>
      <xdr:row>3</xdr:row>
      <xdr:rowOff>463826</xdr:rowOff>
    </xdr:to>
    <xdr:sp macro="[0]!OptimizeRRS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E885FBB-D239-6F65-ABF2-85B088EC4AC9}"/>
            </a:ext>
          </a:extLst>
        </xdr:cNvPr>
        <xdr:cNvSpPr/>
      </xdr:nvSpPr>
      <xdr:spPr>
        <a:xfrm>
          <a:off x="1225826" y="745435"/>
          <a:ext cx="1681370" cy="372717"/>
        </a:xfrm>
        <a:prstGeom prst="roundRect">
          <a:avLst>
            <a:gd name="adj" fmla="val 50000"/>
          </a:avLst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CA" sz="1100">
              <a:ln>
                <a:noFill/>
              </a:ln>
              <a:solidFill>
                <a:schemeClr val="lt1"/>
              </a:solidFill>
            </a:rPr>
            <a:t>Run RRSP Optimization</a:t>
          </a:r>
        </a:p>
      </xdr:txBody>
    </xdr:sp>
    <xdr:clientData/>
  </xdr:twoCellAnchor>
  <xdr:twoCellAnchor>
    <xdr:from>
      <xdr:col>5</xdr:col>
      <xdr:colOff>24846</xdr:colOff>
      <xdr:row>3</xdr:row>
      <xdr:rowOff>107674</xdr:rowOff>
    </xdr:from>
    <xdr:to>
      <xdr:col>7</xdr:col>
      <xdr:colOff>447260</xdr:colOff>
      <xdr:row>3</xdr:row>
      <xdr:rowOff>480391</xdr:rowOff>
    </xdr:to>
    <xdr:sp macro="[0]!updateTab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7CECFFA-B6D6-4BF2-B55F-6D6D3059282B}"/>
            </a:ext>
          </a:extLst>
        </xdr:cNvPr>
        <xdr:cNvSpPr/>
      </xdr:nvSpPr>
      <xdr:spPr>
        <a:xfrm>
          <a:off x="3652629" y="762000"/>
          <a:ext cx="1880153" cy="372717"/>
        </a:xfrm>
        <a:prstGeom prst="roundRect">
          <a:avLst>
            <a:gd name="adj" fmla="val 50000"/>
          </a:avLst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CA" sz="1100">
              <a:ln>
                <a:noFill/>
              </a:ln>
              <a:solidFill>
                <a:schemeClr val="lt1"/>
              </a:solidFill>
            </a:rPr>
            <a:t>Resize</a:t>
          </a:r>
          <a:r>
            <a:rPr lang="en-CA" sz="1100" baseline="0">
              <a:ln>
                <a:noFill/>
              </a:ln>
              <a:solidFill>
                <a:schemeClr val="lt1"/>
              </a:solidFill>
            </a:rPr>
            <a:t> Table to Time Horizon</a:t>
          </a:r>
        </a:p>
        <a:p>
          <a:pPr algn="l"/>
          <a:endParaRPr lang="en-CA" sz="1100">
            <a:ln>
              <a:noFill/>
            </a:ln>
            <a:solidFill>
              <a:schemeClr val="lt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0834E-EEAC-4DB7-8A89-87359027A8BB}">
  <sheetPr codeName="Sheet1"/>
  <dimension ref="A1:AA208"/>
  <sheetViews>
    <sheetView tabSelected="1" zoomScale="115" zoomScaleNormal="115" workbookViewId="0">
      <selection activeCell="S6" sqref="S6:T8"/>
    </sheetView>
  </sheetViews>
  <sheetFormatPr defaultRowHeight="15" x14ac:dyDescent="0.25"/>
  <cols>
    <col min="3" max="3" width="16.140625" customWidth="1"/>
    <col min="4" max="4" width="9.42578125" bestFit="1" customWidth="1"/>
    <col min="5" max="5" width="10.42578125" customWidth="1"/>
    <col min="7" max="7" width="12.7109375" customWidth="1"/>
    <col min="8" max="8" width="11.85546875" customWidth="1"/>
    <col min="9" max="9" width="14.5703125" customWidth="1"/>
    <col min="10" max="10" width="15.7109375" customWidth="1"/>
    <col min="11" max="12" width="11.42578125" customWidth="1"/>
    <col min="13" max="13" width="16.140625" customWidth="1"/>
    <col min="15" max="15" width="14.28515625" customWidth="1"/>
    <col min="16" max="16" width="14" customWidth="1"/>
    <col min="17" max="17" width="15.7109375" customWidth="1"/>
    <col min="18" max="18" width="17.28515625" customWidth="1"/>
    <col min="19" max="19" width="13.42578125" customWidth="1"/>
    <col min="23" max="23" width="23" customWidth="1"/>
    <col min="26" max="26" width="21.42578125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6" x14ac:dyDescent="0.25">
      <c r="A2" s="42" t="s">
        <v>0</v>
      </c>
      <c r="B2" s="42"/>
      <c r="C2" s="2">
        <v>80000</v>
      </c>
      <c r="D2" s="41" t="s">
        <v>27</v>
      </c>
      <c r="E2" s="42"/>
      <c r="F2" s="3">
        <v>0.05</v>
      </c>
      <c r="G2" s="41" t="s">
        <v>1</v>
      </c>
      <c r="H2" s="42"/>
      <c r="I2" s="3">
        <v>0.18</v>
      </c>
      <c r="J2" s="43" t="s">
        <v>25</v>
      </c>
      <c r="K2" s="30">
        <v>20</v>
      </c>
      <c r="L2" s="22"/>
      <c r="M2" s="1"/>
      <c r="N2" s="1"/>
      <c r="O2" s="1"/>
      <c r="P2" s="1"/>
      <c r="Q2" s="1"/>
      <c r="R2" s="1"/>
      <c r="S2" s="1"/>
      <c r="T2" s="1"/>
      <c r="U2" s="1"/>
    </row>
    <row r="3" spans="1:26" ht="21.75" customHeight="1" x14ac:dyDescent="0.25">
      <c r="A3" s="33"/>
      <c r="B3" s="33"/>
      <c r="C3" s="1"/>
      <c r="D3" s="1"/>
      <c r="E3" s="1"/>
      <c r="F3" s="1"/>
      <c r="G3" s="33"/>
      <c r="H3" s="3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6" ht="47.25" customHeigh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</row>
    <row r="5" spans="1:26" s="23" customFormat="1" ht="43.15" customHeight="1" thickBot="1" x14ac:dyDescent="0.3">
      <c r="B5" s="24" t="s">
        <v>2</v>
      </c>
      <c r="C5" s="25" t="s">
        <v>26</v>
      </c>
      <c r="D5" s="26" t="s">
        <v>8</v>
      </c>
      <c r="E5" s="26" t="s">
        <v>9</v>
      </c>
      <c r="F5" s="25" t="s">
        <v>10</v>
      </c>
      <c r="G5" s="26" t="s">
        <v>11</v>
      </c>
      <c r="H5" s="26" t="s">
        <v>1</v>
      </c>
      <c r="I5" s="29" t="s">
        <v>16</v>
      </c>
      <c r="J5" s="26" t="s">
        <v>20</v>
      </c>
      <c r="K5" s="29" t="s">
        <v>19</v>
      </c>
      <c r="L5" s="26" t="s">
        <v>23</v>
      </c>
      <c r="M5" s="26" t="s">
        <v>15</v>
      </c>
      <c r="N5" s="26" t="s">
        <v>17</v>
      </c>
      <c r="O5" s="26" t="s">
        <v>18</v>
      </c>
      <c r="P5" s="23" t="s">
        <v>21</v>
      </c>
      <c r="Q5" s="23" t="s">
        <v>22</v>
      </c>
    </row>
    <row r="6" spans="1:26" x14ac:dyDescent="0.25">
      <c r="B6">
        <v>2025</v>
      </c>
      <c r="C6" s="16">
        <f>C2</f>
        <v>80000</v>
      </c>
      <c r="D6" cm="1">
        <f t="array" ref="D6">Tax(C6, $V$9:$W$13)</f>
        <v>12596.005000000001</v>
      </c>
      <c r="E6" cm="1">
        <f t="array" ref="E6">Tax(C6,$Y$9:$Z$13)</f>
        <v>5110.4690000000001</v>
      </c>
      <c r="F6" s="15">
        <f>D6+E6</f>
        <v>17706.474000000002</v>
      </c>
      <c r="G6" s="14">
        <f>C6-F6</f>
        <v>62293.525999999998</v>
      </c>
      <c r="H6">
        <f>MIN(VLOOKUP(B6,$V$17:$W$43,2),$I$2*C6)</f>
        <v>14400</v>
      </c>
      <c r="I6" s="31">
        <f>H6</f>
        <v>14400</v>
      </c>
      <c r="J6">
        <f>H6-I6</f>
        <v>0</v>
      </c>
      <c r="K6" s="28">
        <v>60</v>
      </c>
      <c r="L6">
        <f>I6-K6+J6</f>
        <v>14340</v>
      </c>
      <c r="M6" s="13">
        <f>C6-I6</f>
        <v>65600</v>
      </c>
      <c r="N6" cm="1">
        <f t="array" ref="N6">Tax(M6,$V$9:$W$13) + Tax(M6,$Y$9:$Z$13)</f>
        <v>13436.874</v>
      </c>
      <c r="O6" s="14">
        <f>M6-N6</f>
        <v>52163.126000000004</v>
      </c>
      <c r="P6" s="14">
        <f t="shared" ref="P6:P17" si="0">F6-N6</f>
        <v>4269.6000000000022</v>
      </c>
      <c r="Q6" s="14">
        <f>P6</f>
        <v>4269.6000000000022</v>
      </c>
      <c r="S6" s="34">
        <f ca="1">SUM(Q6:INDEX(Q:Q,K2+5))</f>
        <v>65925.822160683703</v>
      </c>
      <c r="T6" s="35"/>
      <c r="U6" s="27"/>
    </row>
    <row r="7" spans="1:26" x14ac:dyDescent="0.25">
      <c r="B7">
        <v>2026</v>
      </c>
      <c r="C7" s="17">
        <f>C6*(1+2%)</f>
        <v>81600</v>
      </c>
      <c r="D7" cm="1">
        <f t="array" ref="D7">Tax(C7,$V$9:$W$13)</f>
        <v>12924.005000000001</v>
      </c>
      <c r="E7" cm="1">
        <f t="array" ref="E7">Tax(C7,$Y$9:$Z$13)</f>
        <v>5256.8690000000006</v>
      </c>
      <c r="F7" s="15">
        <f t="shared" ref="F7:F17" si="1">D7+E7</f>
        <v>18180.874000000003</v>
      </c>
      <c r="G7" s="14">
        <f t="shared" ref="G7:G17" si="2">C7-F7</f>
        <v>63419.125999999997</v>
      </c>
      <c r="H7">
        <f t="shared" ref="H7:H17" ca="1" si="3">MIN(VLOOKUP(B7,$V$17:$W$43,2),$I$2*C7)</f>
        <v>14688</v>
      </c>
      <c r="I7" s="31">
        <f t="shared" ref="I7:I25" ca="1" si="4">H7</f>
        <v>14688</v>
      </c>
      <c r="J7">
        <f ca="1">H7-I7+J6</f>
        <v>0</v>
      </c>
      <c r="K7" s="28">
        <v>751</v>
      </c>
      <c r="L7">
        <f ca="1">I7-K7+J7+L6</f>
        <v>28277</v>
      </c>
      <c r="M7" s="13">
        <f t="shared" ref="M7:M17" ca="1" si="5">C7-I7</f>
        <v>66912</v>
      </c>
      <c r="N7" cm="1">
        <f t="array" aca="1" ref="N7" ca="1">Tax(M7,$V$9:$W$13) + Tax(M7,$Y$9:$Z$13)</f>
        <v>13825.882</v>
      </c>
      <c r="O7" s="14">
        <f t="shared" ref="O7:O17" ca="1" si="6">M7-N7</f>
        <v>53086.118000000002</v>
      </c>
      <c r="P7" s="14">
        <f t="shared" ca="1" si="0"/>
        <v>4354.9920000000038</v>
      </c>
      <c r="Q7" s="14">
        <f ca="1">P7*(1+$F$2)^-(B7-$B$6)</f>
        <v>4147.611428571432</v>
      </c>
      <c r="R7" t="s">
        <v>24</v>
      </c>
      <c r="S7" s="36"/>
      <c r="T7" s="37"/>
      <c r="U7" s="27"/>
      <c r="V7" s="32" t="s">
        <v>5</v>
      </c>
      <c r="W7" s="32"/>
      <c r="Y7" s="32" t="s">
        <v>6</v>
      </c>
      <c r="Z7" s="32"/>
    </row>
    <row r="8" spans="1:26" x14ac:dyDescent="0.25">
      <c r="B8">
        <v>2027</v>
      </c>
      <c r="C8" s="17">
        <f t="shared" ref="C8:C17" si="7">C7*(1+2%)</f>
        <v>83232</v>
      </c>
      <c r="D8" cm="1">
        <f t="array" ref="D8">Tax(C8,$V$9:$W$13)</f>
        <v>13258.565000000001</v>
      </c>
      <c r="E8" cm="1">
        <f t="array" ref="E8">Tax(C8,$Y$9:$Z$13)</f>
        <v>5406.1970000000001</v>
      </c>
      <c r="F8" s="15">
        <f t="shared" si="1"/>
        <v>18664.762000000002</v>
      </c>
      <c r="G8" s="14">
        <f t="shared" si="2"/>
        <v>64567.237999999998</v>
      </c>
      <c r="H8">
        <f t="shared" ca="1" si="3"/>
        <v>14981.76</v>
      </c>
      <c r="I8" s="31">
        <f t="shared" ca="1" si="4"/>
        <v>14981.76</v>
      </c>
      <c r="J8">
        <f t="shared" ref="J8:J17" ca="1" si="8">H8-I8+J7</f>
        <v>0</v>
      </c>
      <c r="K8" s="28">
        <v>236.31999999999971</v>
      </c>
      <c r="L8">
        <f t="shared" ref="L8:L17" ca="1" si="9">I8-K8+J8+L7</f>
        <v>43022.44</v>
      </c>
      <c r="M8" s="13">
        <f t="shared" ca="1" si="5"/>
        <v>68250.240000000005</v>
      </c>
      <c r="N8" cm="1">
        <f t="array" aca="1" ref="N8" ca="1">Tax(M8,$V$9:$W$13) + Tax(M8,$Y$9:$Z$13)</f>
        <v>14222.670160000001</v>
      </c>
      <c r="O8" s="14">
        <f t="shared" ca="1" si="6"/>
        <v>54027.569840000004</v>
      </c>
      <c r="P8" s="14">
        <f t="shared" ca="1" si="0"/>
        <v>4442.091840000001</v>
      </c>
      <c r="Q8" s="14">
        <f t="shared" ref="Q8:Q17" ca="1" si="10">P8*(1+$F$2)^-(B8-$B$6)</f>
        <v>4029.1082448979596</v>
      </c>
      <c r="S8" s="38"/>
      <c r="T8" s="39"/>
      <c r="U8" s="27"/>
      <c r="V8" s="9" t="s">
        <v>4</v>
      </c>
      <c r="W8" s="10" t="s">
        <v>3</v>
      </c>
      <c r="Y8" s="9" t="s">
        <v>4</v>
      </c>
      <c r="Z8" s="10" t="s">
        <v>3</v>
      </c>
    </row>
    <row r="9" spans="1:26" x14ac:dyDescent="0.25">
      <c r="B9">
        <v>2028</v>
      </c>
      <c r="C9" s="17">
        <f t="shared" si="7"/>
        <v>84896.639999999999</v>
      </c>
      <c r="D9" cm="1">
        <f t="array" ref="D9">Tax(C9,$V$9:$W$13)</f>
        <v>13599.816200000001</v>
      </c>
      <c r="E9" cm="1">
        <f t="array" ref="E9">Tax(C9,$Y$9:$Z$13)</f>
        <v>5558.5115599999999</v>
      </c>
      <c r="F9" s="15">
        <f t="shared" si="1"/>
        <v>19158.32776</v>
      </c>
      <c r="G9" s="14">
        <f t="shared" si="2"/>
        <v>65738.312239999999</v>
      </c>
      <c r="H9">
        <f t="shared" ca="1" si="3"/>
        <v>15281.395199999999</v>
      </c>
      <c r="I9" s="31">
        <f t="shared" ca="1" si="4"/>
        <v>15281.395199999999</v>
      </c>
      <c r="J9">
        <f t="shared" ca="1" si="8"/>
        <v>0</v>
      </c>
      <c r="K9" s="28">
        <v>461.04639999999927</v>
      </c>
      <c r="L9">
        <f ca="1">I9-K9+J9+L8</f>
        <v>57842.788800000002</v>
      </c>
      <c r="M9" s="13">
        <f t="shared" ca="1" si="5"/>
        <v>69615.2448</v>
      </c>
      <c r="N9" cm="1">
        <f t="array" aca="1" ref="N9" ca="1">Tax(M9,$V$9:$W$13) + Tax(M9,$Y$9:$Z$13)</f>
        <v>14627.394083200001</v>
      </c>
      <c r="O9" s="14">
        <f t="shared" ca="1" si="6"/>
        <v>54987.8507168</v>
      </c>
      <c r="P9" s="14">
        <f t="shared" ca="1" si="0"/>
        <v>4530.9336767999994</v>
      </c>
      <c r="Q9" s="14">
        <f t="shared" ca="1" si="10"/>
        <v>3913.9908664723025</v>
      </c>
      <c r="V9" s="4">
        <v>0.14000000000000001</v>
      </c>
      <c r="W9" s="5">
        <v>0</v>
      </c>
      <c r="Y9" s="11">
        <v>5.0500000000000003E-2</v>
      </c>
      <c r="Z9" s="5">
        <v>0</v>
      </c>
    </row>
    <row r="10" spans="1:26" x14ac:dyDescent="0.25">
      <c r="B10">
        <v>2029</v>
      </c>
      <c r="C10" s="17">
        <f t="shared" si="7"/>
        <v>86594.572799999994</v>
      </c>
      <c r="D10" cm="1">
        <f t="array" ref="D10">Tax(C10,$V$9:$W$13)</f>
        <v>13947.892424000001</v>
      </c>
      <c r="E10" cm="1">
        <f t="array" ref="E10">Tax(C10,$Y$9:$Z$13)</f>
        <v>5713.8724112</v>
      </c>
      <c r="F10" s="15">
        <f t="shared" si="1"/>
        <v>19661.764835200003</v>
      </c>
      <c r="G10" s="14">
        <f t="shared" si="2"/>
        <v>66932.807964799984</v>
      </c>
      <c r="H10">
        <f t="shared" ca="1" si="3"/>
        <v>15587.023103999998</v>
      </c>
      <c r="I10" s="31">
        <f t="shared" ca="1" si="4"/>
        <v>15587.023103999998</v>
      </c>
      <c r="J10">
        <f t="shared" ca="1" si="8"/>
        <v>0</v>
      </c>
      <c r="K10" s="28">
        <v>690.26732800000173</v>
      </c>
      <c r="L10">
        <f t="shared" ca="1" si="9"/>
        <v>72739.544576</v>
      </c>
      <c r="M10" s="13">
        <f t="shared" ca="1" si="5"/>
        <v>71007.549696000002</v>
      </c>
      <c r="N10" cm="1">
        <f t="array" aca="1" ref="N10" ca="1">Tax(M10,$V$9:$W$13) + Tax(M10,$Y$9:$Z$13)</f>
        <v>15040.212486050001</v>
      </c>
      <c r="O10" s="14">
        <f t="shared" ca="1" si="6"/>
        <v>55967.337209949997</v>
      </c>
      <c r="P10" s="14">
        <f t="shared" ca="1" si="0"/>
        <v>4621.5523491500026</v>
      </c>
      <c r="Q10" s="14">
        <f t="shared" ca="1" si="10"/>
        <v>3802.1625550259428</v>
      </c>
      <c r="V10" s="4">
        <v>0.20499999999999999</v>
      </c>
      <c r="W10" s="6">
        <v>58523</v>
      </c>
      <c r="Y10" s="11">
        <v>9.1499999999999998E-2</v>
      </c>
      <c r="Z10" s="6">
        <v>53891</v>
      </c>
    </row>
    <row r="11" spans="1:26" x14ac:dyDescent="0.25">
      <c r="B11">
        <v>2030</v>
      </c>
      <c r="C11" s="17">
        <f t="shared" si="7"/>
        <v>88326.464255999992</v>
      </c>
      <c r="D11" cm="1">
        <f t="array" ref="D11">Tax(C11,$V$9:$W$13)</f>
        <v>14302.9301815</v>
      </c>
      <c r="E11" cm="1">
        <f t="array" ref="E11">Tax(C11,$Y$9:$Z$13)</f>
        <v>5872.3404834499997</v>
      </c>
      <c r="F11" s="15">
        <f t="shared" si="1"/>
        <v>20175.27066495</v>
      </c>
      <c r="G11" s="14">
        <f t="shared" si="2"/>
        <v>68151.193591049989</v>
      </c>
      <c r="H11">
        <f t="shared" ca="1" si="3"/>
        <v>15898.763566079999</v>
      </c>
      <c r="I11" s="31">
        <f t="shared" ca="1" si="4"/>
        <v>15898.763566079999</v>
      </c>
      <c r="J11">
        <f t="shared" ca="1" si="8"/>
        <v>0</v>
      </c>
      <c r="K11" s="28">
        <v>929.07267455999681</v>
      </c>
      <c r="L11">
        <f t="shared" ca="1" si="9"/>
        <v>87709.235467520004</v>
      </c>
      <c r="M11" s="13">
        <f t="shared" ca="1" si="5"/>
        <v>72427.700689919991</v>
      </c>
      <c r="N11" cm="1">
        <f t="array" aca="1" ref="N11" ca="1">Tax(M11,$V$9:$W$13) + Tax(M11,$Y$9:$Z$13)</f>
        <v>15461.287257550001</v>
      </c>
      <c r="O11" s="14">
        <f ca="1">M11-N11</f>
        <v>56966.413432369991</v>
      </c>
      <c r="P11" s="14">
        <f t="shared" ca="1" si="0"/>
        <v>4713.9834073999991</v>
      </c>
      <c r="Q11" s="14">
        <f t="shared" ca="1" si="10"/>
        <v>3693.5293479960451</v>
      </c>
      <c r="V11" s="4">
        <v>0.26</v>
      </c>
      <c r="W11" s="6">
        <v>117045</v>
      </c>
      <c r="Y11" s="11">
        <v>0.1116</v>
      </c>
      <c r="Z11" s="6">
        <v>107785</v>
      </c>
    </row>
    <row r="12" spans="1:26" x14ac:dyDescent="0.25">
      <c r="B12">
        <v>2031</v>
      </c>
      <c r="C12" s="17">
        <f t="shared" si="7"/>
        <v>90092.993541119999</v>
      </c>
      <c r="D12" cm="1">
        <f t="array" ref="D12">Tax(C12,$V$9:$W$13)</f>
        <v>14665.0686675</v>
      </c>
      <c r="E12" cm="1">
        <f t="array" ref="E12">Tax(C12,$Y$9:$Z$13)</f>
        <v>6033.9779052499998</v>
      </c>
      <c r="F12" s="15">
        <f t="shared" si="1"/>
        <v>20699.046572749998</v>
      </c>
      <c r="G12" s="14">
        <f t="shared" si="2"/>
        <v>69393.946968370001</v>
      </c>
      <c r="H12">
        <f t="shared" ca="1" si="3"/>
        <v>16216.738837401599</v>
      </c>
      <c r="I12" s="31">
        <f t="shared" ca="1" si="4"/>
        <v>16216.738837401599</v>
      </c>
      <c r="J12">
        <f t="shared" ca="1" si="8"/>
        <v>0</v>
      </c>
      <c r="K12" s="28">
        <v>162.55412805119704</v>
      </c>
      <c r="L12">
        <f t="shared" ca="1" si="9"/>
        <v>103763.42017687041</v>
      </c>
      <c r="M12" s="13">
        <f t="shared" ca="1" si="5"/>
        <v>73876.254703718398</v>
      </c>
      <c r="N12" cm="1">
        <f t="array" aca="1" ref="N12" ca="1">Tax(M12,$V$9:$W$13) + Tax(M12,$Y$9:$Z$13)</f>
        <v>15890.783518550003</v>
      </c>
      <c r="O12" s="14">
        <f t="shared" ca="1" si="6"/>
        <v>57985.471185168397</v>
      </c>
      <c r="P12" s="14">
        <f t="shared" ca="1" si="0"/>
        <v>4808.2630541999952</v>
      </c>
      <c r="Q12" s="14">
        <f t="shared" ca="1" si="10"/>
        <v>3587.9999221230919</v>
      </c>
      <c r="V12" s="4">
        <v>0.28999999999999998</v>
      </c>
      <c r="W12" s="6">
        <v>181440</v>
      </c>
      <c r="Y12" s="11">
        <v>0.1216</v>
      </c>
      <c r="Z12" s="6">
        <v>150000</v>
      </c>
    </row>
    <row r="13" spans="1:26" x14ac:dyDescent="0.25">
      <c r="B13">
        <v>2032</v>
      </c>
      <c r="C13" s="17">
        <f t="shared" si="7"/>
        <v>91894.8534119424</v>
      </c>
      <c r="D13" cm="1">
        <f t="array" ref="D13">Tax(C13,$V$9:$W$13)</f>
        <v>15034.449947000001</v>
      </c>
      <c r="E13" cm="1">
        <f t="array" ref="E13">Tax(C13,$Y$9:$Z$13)</f>
        <v>6198.8480860999998</v>
      </c>
      <c r="F13" s="15">
        <f t="shared" si="1"/>
        <v>21233.2980331</v>
      </c>
      <c r="G13" s="14">
        <f t="shared" si="2"/>
        <v>70661.5553788424</v>
      </c>
      <c r="H13">
        <f t="shared" ca="1" si="3"/>
        <v>16541.073614149631</v>
      </c>
      <c r="I13" s="31">
        <f t="shared" ca="1" si="4"/>
        <v>16541.073614149631</v>
      </c>
      <c r="J13">
        <f t="shared" ca="1" si="8"/>
        <v>0</v>
      </c>
      <c r="K13" s="28">
        <v>405.80521061221953</v>
      </c>
      <c r="L13">
        <f t="shared" ca="1" si="9"/>
        <v>119898.68858040782</v>
      </c>
      <c r="M13" s="13">
        <f t="shared" ca="1" si="5"/>
        <v>75353.779797792769</v>
      </c>
      <c r="N13" cm="1">
        <f t="array" aca="1" ref="N13" ca="1">Tax(M13,$V$9:$W$13) + Tax(M13,$Y$9:$Z$13)</f>
        <v>16328.869710700003</v>
      </c>
      <c r="O13" s="14">
        <f t="shared" ca="1" si="6"/>
        <v>59024.910087092765</v>
      </c>
      <c r="P13" s="14">
        <f t="shared" ca="1" si="0"/>
        <v>4904.4283223999973</v>
      </c>
      <c r="Q13" s="14">
        <f t="shared" ca="1" si="10"/>
        <v>3485.4856436910704</v>
      </c>
      <c r="V13" s="7">
        <v>0.33</v>
      </c>
      <c r="W13" s="8">
        <v>258482</v>
      </c>
      <c r="Y13" s="12">
        <v>0.13159999999999999</v>
      </c>
      <c r="Z13" s="8">
        <v>220000</v>
      </c>
    </row>
    <row r="14" spans="1:26" x14ac:dyDescent="0.25">
      <c r="B14">
        <v>2033</v>
      </c>
      <c r="C14" s="17">
        <f t="shared" si="7"/>
        <v>93732.750480181247</v>
      </c>
      <c r="D14" cm="1">
        <f t="array" ref="D14">Tax(C14,$V$9:$W$13)</f>
        <v>15411.218852500002</v>
      </c>
      <c r="E14" cm="1">
        <f t="array" ref="E14">Tax(C14,$Y$9:$Z$13)</f>
        <v>6367.01567075</v>
      </c>
      <c r="F14" s="15">
        <f t="shared" si="1"/>
        <v>21778.234523250001</v>
      </c>
      <c r="G14" s="14">
        <f t="shared" si="2"/>
        <v>71954.515956931253</v>
      </c>
      <c r="H14">
        <f t="shared" ca="1" si="3"/>
        <v>16871.895086432625</v>
      </c>
      <c r="I14" s="31">
        <f t="shared" ca="1" si="4"/>
        <v>16871.895086432625</v>
      </c>
      <c r="J14">
        <f t="shared" ca="1" si="8"/>
        <v>0</v>
      </c>
      <c r="K14" s="28">
        <v>653.92131482447439</v>
      </c>
      <c r="L14">
        <f t="shared" ca="1" si="9"/>
        <v>136116.66235201596</v>
      </c>
      <c r="M14" s="13">
        <f t="shared" ca="1" si="5"/>
        <v>76860.855393748614</v>
      </c>
      <c r="N14" cm="1">
        <f t="array" aca="1" ref="N14" ca="1">Tax(M14,$V$9:$W$13) + Tax(M14,$Y$9:$Z$13)</f>
        <v>16775.717626099999</v>
      </c>
      <c r="O14" s="14">
        <f t="shared" ca="1" si="6"/>
        <v>60085.137767648615</v>
      </c>
      <c r="P14" s="14">
        <f t="shared" ca="1" si="0"/>
        <v>5002.5168971500025</v>
      </c>
      <c r="Q14" s="14">
        <f t="shared" ca="1" si="10"/>
        <v>3385.9003452047355</v>
      </c>
    </row>
    <row r="15" spans="1:26" x14ac:dyDescent="0.25">
      <c r="B15">
        <v>2034</v>
      </c>
      <c r="C15" s="17">
        <f t="shared" si="7"/>
        <v>95607.405489784869</v>
      </c>
      <c r="D15" cm="1">
        <f t="array" ref="D15">Tax(C15,$V$9:$W$13)</f>
        <v>15795.523127500001</v>
      </c>
      <c r="E15" cm="1">
        <f t="array" ref="E15">Tax(C15,$Y$9:$Z$13)</f>
        <v>6538.5466032499999</v>
      </c>
      <c r="F15" s="15">
        <f t="shared" si="1"/>
        <v>22334.069730750001</v>
      </c>
      <c r="G15" s="14">
        <f t="shared" si="2"/>
        <v>73273.335759034875</v>
      </c>
      <c r="H15">
        <f t="shared" ca="1" si="3"/>
        <v>17209.332988161277</v>
      </c>
      <c r="I15" s="31">
        <f t="shared" ca="1" si="4"/>
        <v>17209.332988161277</v>
      </c>
      <c r="J15">
        <f t="shared" ca="1" si="8"/>
        <v>0</v>
      </c>
      <c r="K15" s="28">
        <v>906.99974112096243</v>
      </c>
      <c r="L15">
        <f t="shared" ca="1" si="9"/>
        <v>152418.99559905627</v>
      </c>
      <c r="M15" s="13">
        <f t="shared" ca="1" si="5"/>
        <v>78398.072501623596</v>
      </c>
      <c r="N15" cm="1">
        <f t="array" aca="1" ref="N15" ca="1">Tax(M15,$V$9:$W$13) + Tax(M15,$Y$9:$Z$13)</f>
        <v>17231.502496250003</v>
      </c>
      <c r="O15" s="14">
        <f t="shared" ca="1" si="6"/>
        <v>61166.570005373593</v>
      </c>
      <c r="P15" s="14">
        <f t="shared" ca="1" si="0"/>
        <v>5102.5672344999984</v>
      </c>
      <c r="Q15" s="14">
        <f t="shared" ca="1" si="10"/>
        <v>3289.160334959487</v>
      </c>
      <c r="V15" s="32" t="s">
        <v>12</v>
      </c>
      <c r="W15" s="32"/>
    </row>
    <row r="16" spans="1:26" x14ac:dyDescent="0.25">
      <c r="B16">
        <v>2035</v>
      </c>
      <c r="C16" s="17">
        <f t="shared" si="7"/>
        <v>97519.553599580569</v>
      </c>
      <c r="D16" cm="1">
        <f t="array" ref="D16">Tax(C16,$V$9:$W$13)</f>
        <v>16187.513488000001</v>
      </c>
      <c r="E16" cm="1">
        <f t="array" ref="E16">Tax(C16,$Y$9:$Z$13)</f>
        <v>6713.5081544000004</v>
      </c>
      <c r="F16" s="15">
        <f t="shared" si="1"/>
        <v>22901.021642400003</v>
      </c>
      <c r="G16" s="14">
        <f t="shared" si="2"/>
        <v>74618.531957180559</v>
      </c>
      <c r="H16">
        <f t="shared" ca="1" si="3"/>
        <v>17553.519647924502</v>
      </c>
      <c r="I16" s="31">
        <f t="shared" ca="1" si="4"/>
        <v>17553.519647924502</v>
      </c>
      <c r="J16">
        <f t="shared" ca="1" si="8"/>
        <v>0</v>
      </c>
      <c r="K16" s="28">
        <v>165.13973594337585</v>
      </c>
      <c r="L16">
        <f t="shared" ca="1" si="9"/>
        <v>169807.37551103739</v>
      </c>
      <c r="M16" s="13">
        <f t="shared" ca="1" si="5"/>
        <v>79966.033951656063</v>
      </c>
      <c r="N16" cm="1">
        <f t="array" aca="1" ref="N16" ca="1">Tax(M16,$V$9:$W$13) + Tax(M16,$Y$9:$Z$13)</f>
        <v>17696.403081000004</v>
      </c>
      <c r="O16" s="14">
        <f t="shared" ca="1" si="6"/>
        <v>62269.630870656059</v>
      </c>
      <c r="P16" s="14">
        <f t="shared" ca="1" si="0"/>
        <v>5204.6185613999987</v>
      </c>
      <c r="Q16" s="14">
        <f t="shared" ca="1" si="10"/>
        <v>3195.1843144676996</v>
      </c>
      <c r="V16" s="9" t="s">
        <v>2</v>
      </c>
      <c r="W16" s="10" t="s">
        <v>13</v>
      </c>
    </row>
    <row r="17" spans="2:27" x14ac:dyDescent="0.25">
      <c r="B17">
        <v>2036</v>
      </c>
      <c r="C17" s="17">
        <f t="shared" si="7"/>
        <v>99469.944671572186</v>
      </c>
      <c r="D17" cm="1">
        <f t="array" ref="D17">Tax(C17,$V$9:$W$13)</f>
        <v>16587.3436635</v>
      </c>
      <c r="E17" cm="1">
        <f t="array" ref="E17">Tax(C17,$Y$9:$Z$13)</f>
        <v>6891.9689400500001</v>
      </c>
      <c r="F17" s="15">
        <f t="shared" si="1"/>
        <v>23479.312603549999</v>
      </c>
      <c r="G17" s="14">
        <f t="shared" si="2"/>
        <v>75990.632068022183</v>
      </c>
      <c r="H17">
        <f t="shared" ca="1" si="3"/>
        <v>17904.590040882991</v>
      </c>
      <c r="I17" s="31">
        <f t="shared" ca="1" si="4"/>
        <v>17904.590040882991</v>
      </c>
      <c r="J17">
        <f t="shared" ca="1" si="8"/>
        <v>0</v>
      </c>
      <c r="K17" s="28">
        <v>428.44253066222882</v>
      </c>
      <c r="L17">
        <f t="shared" ca="1" si="9"/>
        <v>187283.52302125815</v>
      </c>
      <c r="M17" s="13">
        <f t="shared" ca="1" si="5"/>
        <v>81565.354630689195</v>
      </c>
      <c r="N17" cm="1">
        <f t="array" aca="1" ref="N17" ca="1">Tax(M17,$V$9:$W$13) + Tax(M17,$Y$9:$Z$13)</f>
        <v>18170.6016389</v>
      </c>
      <c r="O17" s="14">
        <f t="shared" ca="1" si="6"/>
        <v>63394.752991789195</v>
      </c>
      <c r="P17" s="14">
        <f t="shared" ca="1" si="0"/>
        <v>5308.7109646499994</v>
      </c>
      <c r="Q17" s="14">
        <f t="shared" ca="1" si="10"/>
        <v>3103.8933527769368</v>
      </c>
      <c r="V17" s="18">
        <v>2018</v>
      </c>
      <c r="W17" s="19">
        <v>26230</v>
      </c>
    </row>
    <row r="18" spans="2:27" x14ac:dyDescent="0.25">
      <c r="B18">
        <v>2037</v>
      </c>
      <c r="C18" s="17">
        <f>C17*(1+2%)</f>
        <v>101459.34356500363</v>
      </c>
      <c r="D18">
        <f>Tax(C18,$V$9:$W$13)</f>
        <v>16995.170438000001</v>
      </c>
      <c r="E18">
        <f>Tax(C18,$Y$9:$Z$13)</f>
        <v>7073.9989393999995</v>
      </c>
      <c r="F18" s="15">
        <f>D18+E18</f>
        <v>24069.169377400001</v>
      </c>
      <c r="G18" s="14">
        <f>C18-F18</f>
        <v>77390.174187603625</v>
      </c>
      <c r="H18">
        <f ca="1">MIN(VLOOKUP(B18,$V$17:$W$43,2),$I$2*C18)</f>
        <v>18262.681841700651</v>
      </c>
      <c r="I18" s="31">
        <f t="shared" ca="1" si="4"/>
        <v>18262.681841700651</v>
      </c>
      <c r="J18">
        <f ca="1">H18-I18+J17</f>
        <v>0</v>
      </c>
      <c r="K18" s="28">
        <v>10145.934356500364</v>
      </c>
      <c r="L18">
        <f ca="1">I18-K18+J18+L17</f>
        <v>195400.27050645844</v>
      </c>
      <c r="M18" s="13">
        <f ca="1">C18-I18</f>
        <v>83196.661723302968</v>
      </c>
      <c r="N18">
        <f ca="1">Tax(M18,$V$9:$W$13) + Tax(M18,$Y$9:$Z$13)</f>
        <v>18654.28419405</v>
      </c>
      <c r="O18" s="14">
        <f ca="1">M18-N18</f>
        <v>64542.377529252968</v>
      </c>
      <c r="P18" s="14">
        <f ca="1">F18-N18</f>
        <v>5414.8851833500012</v>
      </c>
      <c r="Q18" s="14">
        <f ca="1">P18*(1+$F$2)^-(B18-$B$6)</f>
        <v>3015.2106852245356</v>
      </c>
      <c r="V18" s="18">
        <v>2019</v>
      </c>
      <c r="W18" s="19">
        <v>26500</v>
      </c>
    </row>
    <row r="19" spans="2:27" x14ac:dyDescent="0.25">
      <c r="B19">
        <v>2038</v>
      </c>
      <c r="C19" s="17">
        <f>C18*(1+2%)</f>
        <v>103488.5304363037</v>
      </c>
      <c r="D19">
        <f>Tax(C19,$V$9:$W$13)</f>
        <v>17411.153731999999</v>
      </c>
      <c r="E19">
        <f>Tax(C19,$Y$9:$Z$13)</f>
        <v>7259.6695316000005</v>
      </c>
      <c r="F19" s="15">
        <f>D19+E19</f>
        <v>24670.823263599999</v>
      </c>
      <c r="G19" s="14">
        <f>C19-F19</f>
        <v>78817.707172703696</v>
      </c>
      <c r="H19">
        <f ca="1">MIN(VLOOKUP(B19,$V$17:$W$43,2),$I$2*C19)</f>
        <v>18627.935478534666</v>
      </c>
      <c r="I19" s="31">
        <f t="shared" ca="1" si="4"/>
        <v>18627.935478534666</v>
      </c>
      <c r="J19">
        <f ca="1">H19-I19+J18</f>
        <v>0</v>
      </c>
      <c r="K19" s="28">
        <v>10348.85304363037</v>
      </c>
      <c r="L19">
        <f ca="1">I19-K19+J19+L18</f>
        <v>203679.35294136274</v>
      </c>
      <c r="M19" s="13">
        <f ca="1">C19-I19</f>
        <v>84860.594957769033</v>
      </c>
      <c r="N19">
        <f ca="1">Tax(M19,$V$9:$W$13) + Tax(M19,$Y$9:$Z$13)</f>
        <v>19147.640417500003</v>
      </c>
      <c r="O19" s="14">
        <f ca="1">M19-N19</f>
        <v>65712.954540269027</v>
      </c>
      <c r="P19" s="14">
        <f ca="1">F19-N19</f>
        <v>5523.1828460999968</v>
      </c>
      <c r="Q19" s="14">
        <f ca="1">P19*(1+$F$2)^-(B19-$B$6)</f>
        <v>2929.0617868046729</v>
      </c>
      <c r="V19" s="18">
        <v>2020</v>
      </c>
      <c r="W19" s="19">
        <v>27230</v>
      </c>
    </row>
    <row r="20" spans="2:27" x14ac:dyDescent="0.25">
      <c r="B20">
        <v>2039</v>
      </c>
      <c r="C20" s="17">
        <f>C19*(1+2%)</f>
        <v>105558.30104502977</v>
      </c>
      <c r="D20">
        <f>Tax(C20,$V$9:$W$13)</f>
        <v>17835.456705000001</v>
      </c>
      <c r="E20">
        <f>Tax(C20,$Y$9:$Z$13)</f>
        <v>7449.0535414999995</v>
      </c>
      <c r="F20" s="15">
        <f>D20+E20</f>
        <v>25284.510246500002</v>
      </c>
      <c r="G20" s="14">
        <f>C20-F20</f>
        <v>80273.790798529779</v>
      </c>
      <c r="H20">
        <f ca="1">MIN(VLOOKUP(B20,$V$17:$W$43,2),$I$2*C20)</f>
        <v>19000.49418810536</v>
      </c>
      <c r="I20" s="31">
        <f t="shared" ca="1" si="4"/>
        <v>19000.49418810536</v>
      </c>
      <c r="J20">
        <f ca="1">H20-I20+J19</f>
        <v>0</v>
      </c>
      <c r="K20" s="28">
        <v>10555.830104502978</v>
      </c>
      <c r="L20">
        <f ca="1">I20-K20+J20+L19</f>
        <v>212124.01702496511</v>
      </c>
      <c r="M20" s="13">
        <f ca="1">C20-I20</f>
        <v>86557.806856924406</v>
      </c>
      <c r="N20">
        <f ca="1">Tax(M20,$V$9:$W$13) + Tax(M20,$Y$9:$Z$13)</f>
        <v>19650.863745850002</v>
      </c>
      <c r="O20" s="14">
        <f ca="1">M20-N20</f>
        <v>66906.943111074404</v>
      </c>
      <c r="P20" s="14">
        <f ca="1">F20-N20</f>
        <v>5633.6465006500002</v>
      </c>
      <c r="Q20" s="14">
        <f ca="1">P20*(1+$F$2)^-(B20-$B$6)</f>
        <v>2845.3743059836638</v>
      </c>
      <c r="V20" s="18">
        <v>2021</v>
      </c>
      <c r="W20" s="19">
        <v>27830</v>
      </c>
    </row>
    <row r="21" spans="2:27" x14ac:dyDescent="0.25">
      <c r="B21">
        <v>2040</v>
      </c>
      <c r="C21" s="17">
        <f>C20*(1+2%)</f>
        <v>107669.46706593037</v>
      </c>
      <c r="D21">
        <f>Tax(C21,$V$9:$W$13)</f>
        <v>18268.2457555</v>
      </c>
      <c r="E21">
        <f>Tax(C21,$Y$9:$Z$13)</f>
        <v>7642.2252396499998</v>
      </c>
      <c r="F21" s="15">
        <f>D21+E21</f>
        <v>25910.470995150001</v>
      </c>
      <c r="G21" s="14">
        <f>C21-F21</f>
        <v>81758.996070780369</v>
      </c>
      <c r="H21">
        <f ca="1">MIN(VLOOKUP(B21,$V$17:$W$43,2),$I$2*C21)</f>
        <v>19380.504071867465</v>
      </c>
      <c r="I21" s="31">
        <f t="shared" ca="1" si="4"/>
        <v>19380.504071867465</v>
      </c>
      <c r="J21">
        <f ca="1">H21-I21+J20</f>
        <v>0</v>
      </c>
      <c r="K21" s="28">
        <v>10766.946706593037</v>
      </c>
      <c r="L21">
        <f ca="1">I21-K21+J21+L20</f>
        <v>220737.57439023955</v>
      </c>
      <c r="M21" s="13">
        <f ca="1">C21-I21</f>
        <v>88288.962994062895</v>
      </c>
      <c r="N21">
        <f ca="1">Tax(M21,$V$9:$W$13) + Tax(M21,$Y$9:$Z$13)</f>
        <v>20164.151529499999</v>
      </c>
      <c r="O21" s="14">
        <f ca="1">M21-N21</f>
        <v>68124.811464562896</v>
      </c>
      <c r="P21" s="14">
        <f ca="1">F21-N21</f>
        <v>5746.3194656500018</v>
      </c>
      <c r="Q21" s="14">
        <f ca="1">P21*(1+$F$2)^-(B21-$B$6)</f>
        <v>2764.0779140706186</v>
      </c>
      <c r="V21" s="18">
        <v>2022</v>
      </c>
      <c r="W21" s="19">
        <v>29210</v>
      </c>
    </row>
    <row r="22" spans="2:27" x14ac:dyDescent="0.25">
      <c r="B22">
        <v>2041</v>
      </c>
      <c r="C22" s="17">
        <f>C21*(1+2%)</f>
        <v>109822.85640724898</v>
      </c>
      <c r="D22">
        <f>Tax(C22,$V$9:$W$13)</f>
        <v>18709.690562</v>
      </c>
      <c r="E22">
        <f>Tax(C22,$Y$9:$Z$13)</f>
        <v>7880.2212742399997</v>
      </c>
      <c r="F22" s="15">
        <f>D22+E22</f>
        <v>26589.91183624</v>
      </c>
      <c r="G22" s="14">
        <f>C22-F22</f>
        <v>83232.944571008979</v>
      </c>
      <c r="H22">
        <f ca="1">MIN(VLOOKUP(B22,$V$17:$W$43,2),$I$2*C22)</f>
        <v>19768.114153304818</v>
      </c>
      <c r="I22" s="31">
        <f t="shared" ca="1" si="4"/>
        <v>19768.114153304818</v>
      </c>
      <c r="J22">
        <f ca="1">H22-I22+J21</f>
        <v>0</v>
      </c>
      <c r="K22" s="28">
        <v>10982.285640724898</v>
      </c>
      <c r="L22">
        <f ca="1">I22-K22+J22+L21</f>
        <v>229523.40290281948</v>
      </c>
      <c r="M22" s="13">
        <f ca="1">C22-I22</f>
        <v>90054.742253944161</v>
      </c>
      <c r="N22">
        <f ca="1">Tax(M22,$V$9:$W$13) + Tax(M22,$Y$9:$Z$13)</f>
        <v>20687.705091950003</v>
      </c>
      <c r="O22" s="14">
        <f ca="1">M22-N22</f>
        <v>69367.037161994158</v>
      </c>
      <c r="P22" s="14">
        <f ca="1">F22-N22</f>
        <v>5902.206744289997</v>
      </c>
      <c r="Q22" s="14">
        <f ca="1">P22*(1+$F$2)^-(B22-$B$6)</f>
        <v>2703.8689147345976</v>
      </c>
      <c r="V22" s="18">
        <v>2023</v>
      </c>
      <c r="W22" s="19">
        <v>30780</v>
      </c>
      <c r="AA22" t="s">
        <v>7</v>
      </c>
    </row>
    <row r="23" spans="2:27" x14ac:dyDescent="0.25">
      <c r="B23">
        <v>2042</v>
      </c>
      <c r="C23" s="17">
        <f>C22*(1+2%)</f>
        <v>112019.31353539396</v>
      </c>
      <c r="D23">
        <f>Tax(C23,$V$9:$W$13)</f>
        <v>19159.9642675</v>
      </c>
      <c r="E23">
        <f>Tax(C23,$Y$9:$Z$13)</f>
        <v>8125.3458865999992</v>
      </c>
      <c r="F23" s="15">
        <f>D23+E23</f>
        <v>27285.3101541</v>
      </c>
      <c r="G23" s="14">
        <f>C23-F23</f>
        <v>84734.003381293966</v>
      </c>
      <c r="H23">
        <f ca="1">MIN(VLOOKUP(B23,$V$17:$W$43,2),$I$2*C23)</f>
        <v>20163.476436370911</v>
      </c>
      <c r="I23" s="31">
        <f t="shared" ca="1" si="4"/>
        <v>20163.476436370911</v>
      </c>
      <c r="J23">
        <f ca="1">H23-I23+J22</f>
        <v>0</v>
      </c>
      <c r="K23" s="28">
        <v>11201.931353539396</v>
      </c>
      <c r="L23">
        <f ca="1">I23-K23+J23+L22</f>
        <v>238484.947985651</v>
      </c>
      <c r="M23" s="13">
        <f ca="1">C23-I23</f>
        <v>91855.837099023047</v>
      </c>
      <c r="N23">
        <f ca="1">Tax(M23,$V$9:$W$13) + Tax(M23,$Y$9:$Z$13)</f>
        <v>21221.729700150001</v>
      </c>
      <c r="O23" s="14">
        <f ca="1">M23-N23</f>
        <v>70634.10739887305</v>
      </c>
      <c r="P23" s="14">
        <f ca="1">F23-N23</f>
        <v>6063.5804539499986</v>
      </c>
      <c r="Q23" s="14">
        <f ca="1">P23*(1+$F$2)^-(B23-$B$6)</f>
        <v>2645.5200671203229</v>
      </c>
      <c r="V23" s="18">
        <v>2024</v>
      </c>
      <c r="W23" s="19">
        <v>31560</v>
      </c>
    </row>
    <row r="24" spans="2:27" x14ac:dyDescent="0.25">
      <c r="B24">
        <v>2043</v>
      </c>
      <c r="C24" s="17">
        <f>C23*(1+2%)</f>
        <v>114259.69980610184</v>
      </c>
      <c r="D24">
        <f>Tax(C24,$V$9:$W$13)</f>
        <v>19619.243459000001</v>
      </c>
      <c r="E24">
        <f>Tax(C24,$Y$9:$Z$13)</f>
        <v>8375.3729976799987</v>
      </c>
      <c r="F24" s="15">
        <f>D24+E24</f>
        <v>27994.61645668</v>
      </c>
      <c r="G24" s="14">
        <f>C24-F24</f>
        <v>86265.083349421839</v>
      </c>
      <c r="H24">
        <f ca="1">MIN(VLOOKUP(B24,$V$17:$W$43,2),$I$2*C24)</f>
        <v>20566.745965098329</v>
      </c>
      <c r="I24" s="31">
        <f t="shared" ca="1" si="4"/>
        <v>20566.745965098329</v>
      </c>
      <c r="J24">
        <f ca="1">H24-I24+J23</f>
        <v>0</v>
      </c>
      <c r="K24" s="28">
        <v>11425.969980610185</v>
      </c>
      <c r="L24">
        <f ca="1">I24-K24+J24+L23</f>
        <v>247625.72397013914</v>
      </c>
      <c r="M24" s="13">
        <f ca="1">C24-I24</f>
        <v>93692.953841003502</v>
      </c>
      <c r="N24">
        <f ca="1">Tax(M24,$V$9:$W$13) + Tax(M24,$Y$9:$Z$13)</f>
        <v>21766.434801700001</v>
      </c>
      <c r="O24" s="14">
        <f ca="1">M24-N24</f>
        <v>71926.519039303501</v>
      </c>
      <c r="P24" s="14">
        <f ca="1">F24-N24</f>
        <v>6228.1816549799987</v>
      </c>
      <c r="Q24" s="14">
        <f ca="1">P24*(1+$F$2)^-(B24-$B$6)</f>
        <v>2587.9381199109339</v>
      </c>
      <c r="V24" s="18">
        <v>2025</v>
      </c>
      <c r="W24" s="19">
        <v>32490</v>
      </c>
    </row>
    <row r="25" spans="2:27" x14ac:dyDescent="0.25">
      <c r="B25">
        <v>2044</v>
      </c>
      <c r="C25" s="17">
        <f>C24*(1+2%)</f>
        <v>116544.89380222387</v>
      </c>
      <c r="D25">
        <f>Tax(C25,$V$9:$W$13)</f>
        <v>20087.708229</v>
      </c>
      <c r="E25">
        <f>Tax(C25,$Y$9:$Z$13)</f>
        <v>8630.4006480799999</v>
      </c>
      <c r="F25" s="15">
        <f>D25+E25</f>
        <v>28718.108877079998</v>
      </c>
      <c r="G25" s="14">
        <f>C25-F25</f>
        <v>87826.784925143875</v>
      </c>
      <c r="H25">
        <f ca="1">MIN(VLOOKUP(B25,$V$17:$W$43,2),$I$2*C25)</f>
        <v>20978.080884400297</v>
      </c>
      <c r="I25" s="31">
        <f t="shared" ca="1" si="4"/>
        <v>20978.080884400297</v>
      </c>
      <c r="J25">
        <f ca="1">H25-I25+J24</f>
        <v>0</v>
      </c>
      <c r="K25" s="28">
        <v>11654.489380222389</v>
      </c>
      <c r="L25">
        <f ca="1">I25-K25+J25+L24</f>
        <v>256949.31547431706</v>
      </c>
      <c r="M25" s="13">
        <f ca="1">C25-I25</f>
        <v>95566.812917823583</v>
      </c>
      <c r="N25">
        <f ca="1">Tax(M25,$V$9:$W$13) + Tax(M25,$Y$9:$Z$13)</f>
        <v>22322.03402485</v>
      </c>
      <c r="O25" s="14">
        <f ca="1">M25-N25</f>
        <v>73244.778892973583</v>
      </c>
      <c r="P25" s="14">
        <f ca="1">F25-N25</f>
        <v>6396.0748522299982</v>
      </c>
      <c r="Q25" s="14">
        <f ca="1">P25*(1+$F$2)^-(B25-$B$6)</f>
        <v>2531.1440106476657</v>
      </c>
      <c r="V25" s="18">
        <v>2026</v>
      </c>
      <c r="W25" s="19">
        <f ca="1">_xlfn.FORECAST.LINEAR(V25, $W$17:(INDIRECT(ADDRESS(ROW()-1,COLUMN()))), $V$17:(INDIRECT(ADDRESS(ROW()-1,COLUMN()-1))))</f>
        <v>33326.071428571595</v>
      </c>
      <c r="X25" t="s">
        <v>14</v>
      </c>
    </row>
    <row r="26" spans="2:27" x14ac:dyDescent="0.25">
      <c r="V26" s="20">
        <v>2027</v>
      </c>
      <c r="W26" s="21">
        <f ca="1">_xlfn.FORECAST.LINEAR(V26, $W$17:(INDIRECT(ADDRESS(ROW()-1,COLUMN()))), $V$17:(INDIRECT(ADDRESS(ROW()-1,COLUMN()-1))))</f>
        <v>34292.142857142957</v>
      </c>
    </row>
    <row r="27" spans="2:27" x14ac:dyDescent="0.25">
      <c r="C27" s="14"/>
      <c r="V27" s="20">
        <v>2028</v>
      </c>
      <c r="W27" s="21">
        <f ca="1">_xlfn.FORECAST.LINEAR(V27, $W$17:(INDIRECT(ADDRESS(ROW()-1,COLUMN()))), $V$17:(INDIRECT(ADDRESS(ROW()-1,COLUMN()-1))))</f>
        <v>35258.214285714319</v>
      </c>
    </row>
    <row r="28" spans="2:27" x14ac:dyDescent="0.25">
      <c r="V28" s="20">
        <v>2029</v>
      </c>
      <c r="W28" s="21">
        <f ca="1">_xlfn.FORECAST.LINEAR(V28, $W$17:(INDIRECT(ADDRESS(ROW()-1,COLUMN()))), $V$17:(INDIRECT(ADDRESS(ROW()-1,COLUMN()-1))))</f>
        <v>36224.285714285914</v>
      </c>
    </row>
    <row r="29" spans="2:27" x14ac:dyDescent="0.25">
      <c r="V29" s="20">
        <v>2030</v>
      </c>
      <c r="W29" s="21">
        <f ca="1">_xlfn.FORECAST.LINEAR(V29, $W$17:(INDIRECT(ADDRESS(ROW()-1,COLUMN()))), $V$17:(INDIRECT(ADDRESS(ROW()-1,COLUMN()-1))))</f>
        <v>37190.357142857276</v>
      </c>
    </row>
    <row r="30" spans="2:27" x14ac:dyDescent="0.25">
      <c r="V30" s="20">
        <v>2031</v>
      </c>
      <c r="W30" s="21">
        <f ca="1">_xlfn.FORECAST.LINEAR(V30, $W$17:(INDIRECT(ADDRESS(ROW()-1,COLUMN()))), $V$17:(INDIRECT(ADDRESS(ROW()-1,COLUMN()-1))))</f>
        <v>38156.428571428638</v>
      </c>
    </row>
    <row r="31" spans="2:27" x14ac:dyDescent="0.25">
      <c r="V31" s="20">
        <v>2032</v>
      </c>
      <c r="W31" s="21">
        <f ca="1">_xlfn.FORECAST.LINEAR(V31, $W$17:(INDIRECT(ADDRESS(ROW()-1,COLUMN()))), $V$17:(INDIRECT(ADDRESS(ROW()-1,COLUMN()-1))))</f>
        <v>39122.500000000233</v>
      </c>
    </row>
    <row r="32" spans="2:27" x14ac:dyDescent="0.25">
      <c r="V32" s="20">
        <v>2033</v>
      </c>
      <c r="W32" s="21">
        <f ca="1">_xlfn.FORECAST.LINEAR(V32, $W$17:(INDIRECT(ADDRESS(ROW()-1,COLUMN()))), $V$17:(INDIRECT(ADDRESS(ROW()-1,COLUMN()-1))))</f>
        <v>40088.571428571595</v>
      </c>
    </row>
    <row r="33" spans="22:23" x14ac:dyDescent="0.25">
      <c r="V33" s="20">
        <v>2034</v>
      </c>
      <c r="W33" s="21">
        <f ca="1">_xlfn.FORECAST.LINEAR(V33, $W$17:(INDIRECT(ADDRESS(ROW()-1,COLUMN()))), $V$17:(INDIRECT(ADDRESS(ROW()-1,COLUMN()-1))))</f>
        <v>41054.642857142957</v>
      </c>
    </row>
    <row r="34" spans="22:23" x14ac:dyDescent="0.25">
      <c r="V34" s="20">
        <v>2035</v>
      </c>
      <c r="W34" s="21">
        <f ca="1">_xlfn.FORECAST.LINEAR(V34, $W$17:(INDIRECT(ADDRESS(ROW()-1,COLUMN()))), $V$17:(INDIRECT(ADDRESS(ROW()-1,COLUMN()-1))))</f>
        <v>42020.714285714552</v>
      </c>
    </row>
    <row r="35" spans="22:23" x14ac:dyDescent="0.25">
      <c r="V35" s="20">
        <v>2036</v>
      </c>
      <c r="W35" s="21">
        <f ca="1">_xlfn.FORECAST.LINEAR(V35, $W$17:(INDIRECT(ADDRESS(ROW()-1,COLUMN()))), $V$17:(INDIRECT(ADDRESS(ROW()-1,COLUMN()-1))))</f>
        <v>42986.785714285914</v>
      </c>
    </row>
    <row r="36" spans="22:23" x14ac:dyDescent="0.25">
      <c r="V36" s="20">
        <v>2037</v>
      </c>
      <c r="W36" s="21">
        <f ca="1">_xlfn.FORECAST.LINEAR(V36, $W$17:(INDIRECT(ADDRESS(ROW()-1,COLUMN()))), $V$17:(INDIRECT(ADDRESS(ROW()-1,COLUMN()-1))))</f>
        <v>43952.857142857276</v>
      </c>
    </row>
    <row r="37" spans="22:23" x14ac:dyDescent="0.25">
      <c r="V37" s="20">
        <v>2038</v>
      </c>
      <c r="W37" s="21">
        <f ca="1">_xlfn.FORECAST.LINEAR(V37, $W$17:(INDIRECT(ADDRESS(ROW()-1,COLUMN()))), $V$17:(INDIRECT(ADDRESS(ROW()-1,COLUMN()-1))))</f>
        <v>44918.928571428871</v>
      </c>
    </row>
    <row r="38" spans="22:23" x14ac:dyDescent="0.25">
      <c r="V38" s="20">
        <v>2039</v>
      </c>
      <c r="W38" s="21">
        <f ca="1">_xlfn.FORECAST.LINEAR(V38, $W$17:(INDIRECT(ADDRESS(ROW()-1,COLUMN()))), $V$17:(INDIRECT(ADDRESS(ROW()-1,COLUMN()-1))))</f>
        <v>45885.000000000233</v>
      </c>
    </row>
    <row r="39" spans="22:23" x14ac:dyDescent="0.25">
      <c r="V39" s="20">
        <v>2040</v>
      </c>
      <c r="W39" s="21">
        <f ca="1">_xlfn.FORECAST.LINEAR(V39, $W$17:(INDIRECT(ADDRESS(ROW()-1,COLUMN()))), $V$17:(INDIRECT(ADDRESS(ROW()-1,COLUMN()-1))))</f>
        <v>46851.071428571595</v>
      </c>
    </row>
    <row r="40" spans="22:23" x14ac:dyDescent="0.25">
      <c r="V40" s="20">
        <v>2041</v>
      </c>
      <c r="W40" s="21">
        <f ca="1">_xlfn.FORECAST.LINEAR(V40, $W$17:(INDIRECT(ADDRESS(ROW()-1,COLUMN()))), $V$17:(INDIRECT(ADDRESS(ROW()-1,COLUMN()-1))))</f>
        <v>47817.14285714319</v>
      </c>
    </row>
    <row r="41" spans="22:23" x14ac:dyDescent="0.25">
      <c r="V41" s="20">
        <v>2042</v>
      </c>
      <c r="W41" s="21">
        <f ca="1">_xlfn.FORECAST.LINEAR(V41, $W$17:(INDIRECT(ADDRESS(ROW()-1,COLUMN()))), $V$17:(INDIRECT(ADDRESS(ROW()-1,COLUMN()-1))))</f>
        <v>48783.214285714552</v>
      </c>
    </row>
    <row r="42" spans="22:23" x14ac:dyDescent="0.25">
      <c r="V42" s="20">
        <v>2043</v>
      </c>
      <c r="W42" s="21">
        <f ca="1">_xlfn.FORECAST.LINEAR(V42, $W$17:(INDIRECT(ADDRESS(ROW()-1,COLUMN()))), $V$17:(INDIRECT(ADDRESS(ROW()-1,COLUMN()-1))))</f>
        <v>49749.285714285914</v>
      </c>
    </row>
    <row r="43" spans="22:23" x14ac:dyDescent="0.25">
      <c r="V43" s="20">
        <v>2044</v>
      </c>
      <c r="W43" s="21">
        <f ca="1">_xlfn.FORECAST.LINEAR(V43, $W$17:(INDIRECT(ADDRESS(ROW()-1,COLUMN()))), $V$17:(INDIRECT(ADDRESS(ROW()-1,COLUMN()-1))))</f>
        <v>50715.357142857509</v>
      </c>
    </row>
    <row r="44" spans="22:23" x14ac:dyDescent="0.25">
      <c r="V44" s="20">
        <v>2045</v>
      </c>
      <c r="W44" s="21">
        <f ca="1">_xlfn.FORECAST.LINEAR(V44, $W$17:(INDIRECT(ADDRESS(ROW()-1,COLUMN()))), $V$17:(INDIRECT(ADDRESS(ROW()-1,COLUMN()-1))))</f>
        <v>51681.428571428871</v>
      </c>
    </row>
    <row r="45" spans="22:23" x14ac:dyDescent="0.25">
      <c r="V45" s="20">
        <v>2046</v>
      </c>
      <c r="W45" s="21">
        <f ca="1">_xlfn.FORECAST.LINEAR(V45, $W$17:(INDIRECT(ADDRESS(ROW()-1,COLUMN()))), $V$17:(INDIRECT(ADDRESS(ROW()-1,COLUMN()-1))))</f>
        <v>52647.500000000233</v>
      </c>
    </row>
    <row r="46" spans="22:23" x14ac:dyDescent="0.25">
      <c r="V46" s="20">
        <v>2047</v>
      </c>
      <c r="W46" s="21">
        <f ca="1">_xlfn.FORECAST.LINEAR(V46, $W$17:(INDIRECT(ADDRESS(ROW()-1,COLUMN()))), $V$17:(INDIRECT(ADDRESS(ROW()-1,COLUMN()-1))))</f>
        <v>53613.571428571828</v>
      </c>
    </row>
    <row r="47" spans="22:23" x14ac:dyDescent="0.25">
      <c r="V47" s="20">
        <v>2048</v>
      </c>
      <c r="W47" s="21">
        <f ca="1">_xlfn.FORECAST.LINEAR(V47, $W$17:(INDIRECT(ADDRESS(ROW()-1,COLUMN()))), $V$17:(INDIRECT(ADDRESS(ROW()-1,COLUMN()-1))))</f>
        <v>54579.64285714319</v>
      </c>
    </row>
    <row r="48" spans="22:23" x14ac:dyDescent="0.25">
      <c r="V48" s="20">
        <v>2049</v>
      </c>
      <c r="W48" s="21">
        <f ca="1">_xlfn.FORECAST.LINEAR(V48, $W$17:(INDIRECT(ADDRESS(ROW()-1,COLUMN()))), $V$17:(INDIRECT(ADDRESS(ROW()-1,COLUMN()-1))))</f>
        <v>55545.714285714552</v>
      </c>
    </row>
    <row r="49" spans="22:23" x14ac:dyDescent="0.25">
      <c r="V49" s="20">
        <v>2050</v>
      </c>
      <c r="W49" s="21">
        <f ca="1">_xlfn.FORECAST.LINEAR(V49, $W$17:(INDIRECT(ADDRESS(ROW()-1,COLUMN()))), $V$17:(INDIRECT(ADDRESS(ROW()-1,COLUMN()-1))))</f>
        <v>56511.785714286147</v>
      </c>
    </row>
    <row r="50" spans="22:23" x14ac:dyDescent="0.25">
      <c r="V50" s="20">
        <v>2051</v>
      </c>
      <c r="W50" s="21">
        <f ca="1">_xlfn.FORECAST.LINEAR(V50, $W$17:(INDIRECT(ADDRESS(ROW()-1,COLUMN()))), $V$17:(INDIRECT(ADDRESS(ROW()-1,COLUMN()-1))))</f>
        <v>57477.857142857509</v>
      </c>
    </row>
    <row r="51" spans="22:23" x14ac:dyDescent="0.25">
      <c r="V51" s="20">
        <v>2052</v>
      </c>
      <c r="W51" s="21">
        <f ca="1">_xlfn.FORECAST.LINEAR(V51, $W$17:(INDIRECT(ADDRESS(ROW()-1,COLUMN()))), $V$17:(INDIRECT(ADDRESS(ROW()-1,COLUMN()-1))))</f>
        <v>58443.928571428871</v>
      </c>
    </row>
    <row r="52" spans="22:23" x14ac:dyDescent="0.25">
      <c r="V52" s="20">
        <v>2053</v>
      </c>
      <c r="W52" s="21">
        <f ca="1">_xlfn.FORECAST.LINEAR(V52, $W$17:(INDIRECT(ADDRESS(ROW()-1,COLUMN()))), $V$17:(INDIRECT(ADDRESS(ROW()-1,COLUMN()-1))))</f>
        <v>59410.000000000466</v>
      </c>
    </row>
    <row r="200" spans="17:17" x14ac:dyDescent="0.25">
      <c r="Q200" s="14">
        <f ca="1">SUM(Q6:Q25)</f>
        <v>65925.822160683703</v>
      </c>
    </row>
    <row r="208" spans="17:17" x14ac:dyDescent="0.25">
      <c r="Q208" s="14">
        <f ca="1">SUM(Q6:Q17)</f>
        <v>43903.626356186694</v>
      </c>
    </row>
  </sheetData>
  <mergeCells count="10">
    <mergeCell ref="V15:W15"/>
    <mergeCell ref="Y7:Z7"/>
    <mergeCell ref="A2:B2"/>
    <mergeCell ref="D2:E2"/>
    <mergeCell ref="G2:H2"/>
    <mergeCell ref="A3:B3"/>
    <mergeCell ref="V7:W7"/>
    <mergeCell ref="G3:H3"/>
    <mergeCell ref="S6:T8"/>
    <mergeCell ref="A4:S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Li</dc:creator>
  <cp:lastModifiedBy>Kevin Li</cp:lastModifiedBy>
  <dcterms:created xsi:type="dcterms:W3CDTF">2026-04-27T20:59:05Z</dcterms:created>
  <dcterms:modified xsi:type="dcterms:W3CDTF">2026-05-30T04:15:08Z</dcterms:modified>
</cp:coreProperties>
</file>